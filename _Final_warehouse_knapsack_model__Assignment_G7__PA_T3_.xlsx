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itd\Desktop\UNF\UNF Assignment _ Notes_Class Practise\Term 3\Prescriptive Analytics\FinalProject\Submit\"/>
    </mc:Choice>
  </mc:AlternateContent>
  <xr:revisionPtr revIDLastSave="0" documentId="13_ncr:1_{D419F5ED-EE80-4A49-B0BB-B3734C83281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Knapsack Model" sheetId="1" r:id="rId1"/>
    <sheet name="Knapsack Model Sol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2" l="1"/>
  <c r="C19" i="2"/>
  <c r="C20" i="2"/>
  <c r="C21" i="2"/>
  <c r="C22" i="2"/>
  <c r="C23" i="2"/>
  <c r="C24" i="2"/>
  <c r="C25" i="2"/>
  <c r="C18" i="2"/>
  <c r="B26" i="2"/>
  <c r="B19" i="2"/>
  <c r="B20" i="2"/>
  <c r="B21" i="2"/>
  <c r="B22" i="2"/>
  <c r="B23" i="2"/>
  <c r="B24" i="2"/>
  <c r="B25" i="2"/>
  <c r="B18" i="2"/>
  <c r="H5" i="2"/>
  <c r="H6" i="2" s="1"/>
  <c r="H7" i="2" s="1"/>
  <c r="H8" i="2" s="1"/>
  <c r="H9" i="2" s="1"/>
  <c r="H10" i="2" s="1"/>
  <c r="H11" i="2" s="1"/>
  <c r="H12" i="2" s="1"/>
  <c r="I5" i="2"/>
  <c r="I6" i="2" s="1"/>
  <c r="J5" i="2"/>
  <c r="J6" i="2" s="1"/>
  <c r="K5" i="2"/>
  <c r="K6" i="2" s="1"/>
  <c r="L5" i="2"/>
  <c r="L6" i="2" s="1"/>
  <c r="L7" i="2" s="1"/>
  <c r="M5" i="2"/>
  <c r="M6" i="2" s="1"/>
  <c r="M7" i="2" s="1"/>
  <c r="M8" i="2" s="1"/>
  <c r="M9" i="2" s="1"/>
  <c r="M10" i="2" s="1"/>
  <c r="M11" i="2" s="1"/>
  <c r="N5" i="2"/>
  <c r="N6" i="2" s="1"/>
  <c r="N7" i="2" s="1"/>
  <c r="O5" i="2"/>
  <c r="O6" i="2" s="1"/>
  <c r="O7" i="2" s="1"/>
  <c r="P5" i="2"/>
  <c r="P6" i="2" s="1"/>
  <c r="P7" i="2" s="1"/>
  <c r="Q5" i="2"/>
  <c r="Q6" i="2" s="1"/>
  <c r="Q7" i="2" s="1"/>
  <c r="R5" i="2"/>
  <c r="R6" i="2" s="1"/>
  <c r="R7" i="2" s="1"/>
  <c r="S5" i="2"/>
  <c r="S6" i="2" s="1"/>
  <c r="T5" i="2"/>
  <c r="T6" i="2" s="1"/>
  <c r="U5" i="2"/>
  <c r="U6" i="2" s="1"/>
  <c r="V5" i="2"/>
  <c r="W5" i="2"/>
  <c r="X5" i="2"/>
  <c r="X6" i="2" s="1"/>
  <c r="Y5" i="2"/>
  <c r="Z5" i="2"/>
  <c r="Z6" i="2" s="1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G5" i="2"/>
  <c r="G6" i="2" s="1"/>
  <c r="G7" i="2" s="1"/>
  <c r="G8" i="2" s="1"/>
  <c r="G9" i="2" s="1"/>
  <c r="G10" i="2" s="1"/>
  <c r="G11" i="2" s="1"/>
  <c r="G12" i="2" s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B13" i="1" l="1"/>
  <c r="B14" i="1"/>
  <c r="X7" i="2"/>
  <c r="X8" i="2" s="1"/>
  <c r="X9" i="2" s="1"/>
  <c r="X10" i="2" s="1"/>
  <c r="M12" i="2"/>
  <c r="AU6" i="2"/>
  <c r="AT6" i="2"/>
  <c r="AS6" i="2"/>
  <c r="BI6" i="2"/>
  <c r="Q8" i="2"/>
  <c r="BK6" i="2"/>
  <c r="BJ6" i="2"/>
  <c r="L8" i="2"/>
  <c r="BT6" i="2"/>
  <c r="BD6" i="2"/>
  <c r="AN6" i="2"/>
  <c r="BS6" i="2"/>
  <c r="BC6" i="2"/>
  <c r="R8" i="2"/>
  <c r="O8" i="2"/>
  <c r="P8" i="2"/>
  <c r="N8" i="2"/>
  <c r="U7" i="2"/>
  <c r="T7" i="2"/>
  <c r="S7" i="2"/>
  <c r="BG6" i="2"/>
  <c r="AQ6" i="2"/>
  <c r="BV6" i="2"/>
  <c r="BF6" i="2"/>
  <c r="AP6" i="2"/>
  <c r="BE6" i="2"/>
  <c r="AM6" i="2"/>
  <c r="W6" i="2"/>
  <c r="V6" i="2"/>
  <c r="BR6" i="2"/>
  <c r="BQ6" i="2"/>
  <c r="BP6" i="2"/>
  <c r="AZ6" i="2"/>
  <c r="BO6" i="2"/>
  <c r="AY6" i="2"/>
  <c r="K7" i="2"/>
  <c r="BN6" i="2"/>
  <c r="AX6" i="2"/>
  <c r="J7" i="2"/>
  <c r="BW6" i="2"/>
  <c r="BM6" i="2"/>
  <c r="I7" i="2"/>
  <c r="BU6" i="2"/>
  <c r="AO6" i="2"/>
  <c r="BB6" i="2"/>
  <c r="BA6" i="2"/>
  <c r="AW6" i="2"/>
  <c r="BL6" i="2"/>
  <c r="AV6" i="2"/>
  <c r="AK6" i="2"/>
  <c r="AJ6" i="2"/>
  <c r="AI6" i="2"/>
  <c r="AD6" i="2"/>
  <c r="AC6" i="2"/>
  <c r="AB6" i="2"/>
  <c r="AA6" i="2"/>
  <c r="Y6" i="2"/>
  <c r="AL6" i="2"/>
  <c r="AH6" i="2"/>
  <c r="AH7" i="2" s="1"/>
  <c r="AG6" i="2"/>
  <c r="AF6" i="2"/>
  <c r="AE6" i="2"/>
  <c r="BX6" i="2"/>
  <c r="BH6" i="2"/>
  <c r="AR6" i="2"/>
  <c r="BX7" i="2" l="1"/>
  <c r="BI7" i="2"/>
  <c r="AZ7" i="2"/>
  <c r="AY7" i="2"/>
  <c r="BI8" i="2" s="1"/>
  <c r="BT7" i="2"/>
  <c r="L9" i="2"/>
  <c r="O9" i="2"/>
  <c r="Q9" i="2"/>
  <c r="N9" i="2"/>
  <c r="P9" i="2"/>
  <c r="R9" i="2"/>
  <c r="BD7" i="2"/>
  <c r="BN8" i="2" s="1"/>
  <c r="BS7" i="2"/>
  <c r="BS8" i="2" s="1"/>
  <c r="BC7" i="2"/>
  <c r="AN7" i="2"/>
  <c r="BK7" i="2"/>
  <c r="BJ7" i="2"/>
  <c r="AH8" i="2"/>
  <c r="AH9" i="2" s="1"/>
  <c r="AO7" i="2"/>
  <c r="K8" i="2"/>
  <c r="U8" i="2"/>
  <c r="Y7" i="2"/>
  <c r="BR7" i="2"/>
  <c r="I8" i="2"/>
  <c r="S8" i="2"/>
  <c r="BE7" i="2"/>
  <c r="BU7" i="2"/>
  <c r="J8" i="2"/>
  <c r="T8" i="2"/>
  <c r="AS7" i="2"/>
  <c r="AD7" i="2"/>
  <c r="AP7" i="2"/>
  <c r="AA7" i="2"/>
  <c r="AQ7" i="2"/>
  <c r="AB7" i="2"/>
  <c r="BM7" i="2"/>
  <c r="AX7" i="2"/>
  <c r="BW7" i="2"/>
  <c r="BF7" i="2"/>
  <c r="BN7" i="2"/>
  <c r="BG7" i="2"/>
  <c r="AT7" i="2"/>
  <c r="AE7" i="2"/>
  <c r="AE8" i="2" s="1"/>
  <c r="BP7" i="2"/>
  <c r="AV7" i="2"/>
  <c r="AG7" i="2"/>
  <c r="AK7" i="2"/>
  <c r="V7" i="2"/>
  <c r="AW7" i="2"/>
  <c r="AL7" i="2"/>
  <c r="W7" i="2"/>
  <c r="Z7" i="2"/>
  <c r="AC7" i="2"/>
  <c r="AR7" i="2"/>
  <c r="BV7" i="2"/>
  <c r="AI7" i="2"/>
  <c r="BO7" i="2"/>
  <c r="AJ7" i="2"/>
  <c r="BL7" i="2"/>
  <c r="AF7" i="2"/>
  <c r="AU7" i="2"/>
  <c r="BQ7" i="2"/>
  <c r="BA7" i="2"/>
  <c r="AM7" i="2"/>
  <c r="BB7" i="2"/>
  <c r="BH7" i="2"/>
  <c r="AU8" i="2" l="1"/>
  <c r="BX8" i="2"/>
  <c r="AZ8" i="2"/>
  <c r="AZ9" i="2" s="1"/>
  <c r="BJ8" i="2"/>
  <c r="AV8" i="2"/>
  <c r="BN9" i="2" s="1"/>
  <c r="AY8" i="2"/>
  <c r="BA8" i="2"/>
  <c r="BS9" i="2" s="1"/>
  <c r="BK8" i="2"/>
  <c r="AT8" i="2"/>
  <c r="BD8" i="2"/>
  <c r="R10" i="2"/>
  <c r="P10" i="2"/>
  <c r="BP8" i="2"/>
  <c r="N10" i="2"/>
  <c r="BB8" i="2"/>
  <c r="Q10" i="2"/>
  <c r="AM8" i="2"/>
  <c r="AM9" i="2" s="1"/>
  <c r="BH8" i="2"/>
  <c r="O10" i="2"/>
  <c r="L10" i="2"/>
  <c r="AE9" i="2"/>
  <c r="T9" i="2"/>
  <c r="S9" i="2"/>
  <c r="I9" i="2"/>
  <c r="BL8" i="2"/>
  <c r="J9" i="2"/>
  <c r="U9" i="2"/>
  <c r="BG8" i="2"/>
  <c r="K9" i="2"/>
  <c r="AN8" i="2"/>
  <c r="BC8" i="2"/>
  <c r="BT8" i="2"/>
  <c r="BR8" i="2"/>
  <c r="BU8" i="2"/>
  <c r="BO8" i="2"/>
  <c r="AJ8" i="2"/>
  <c r="Z8" i="2"/>
  <c r="BW8" i="2"/>
  <c r="AL8" i="2"/>
  <c r="AB8" i="2"/>
  <c r="AX8" i="2"/>
  <c r="AW8" i="2"/>
  <c r="AF8" i="2"/>
  <c r="V8" i="2"/>
  <c r="AG8" i="2"/>
  <c r="W8" i="2"/>
  <c r="BE8" i="2"/>
  <c r="AK8" i="2"/>
  <c r="AA8" i="2"/>
  <c r="AI8" i="2"/>
  <c r="Y8" i="2"/>
  <c r="AD8" i="2"/>
  <c r="AQ8" i="2"/>
  <c r="BI9" i="2" s="1"/>
  <c r="BF8" i="2"/>
  <c r="AP8" i="2"/>
  <c r="BV8" i="2"/>
  <c r="AO8" i="2"/>
  <c r="AC8" i="2"/>
  <c r="BM8" i="2"/>
  <c r="BQ8" i="2"/>
  <c r="BQ9" i="2" s="1"/>
  <c r="AS8" i="2"/>
  <c r="AR8" i="2"/>
  <c r="BJ9" i="2" s="1"/>
  <c r="BK9" i="2" l="1"/>
  <c r="BL9" i="2"/>
  <c r="AT9" i="2"/>
  <c r="AT10" i="2" s="1"/>
  <c r="BM9" i="2"/>
  <c r="AU9" i="2"/>
  <c r="BV9" i="2"/>
  <c r="BX9" i="2"/>
  <c r="BR9" i="2"/>
  <c r="BC9" i="2"/>
  <c r="BD9" i="2"/>
  <c r="BD10" i="2" s="1"/>
  <c r="BL10" i="2"/>
  <c r="BP9" i="2"/>
  <c r="X11" i="2"/>
  <c r="O11" i="2"/>
  <c r="N11" i="2"/>
  <c r="BS10" i="2"/>
  <c r="P11" i="2"/>
  <c r="L11" i="2"/>
  <c r="Q11" i="2"/>
  <c r="BG9" i="2"/>
  <c r="BG10" i="2" s="1"/>
  <c r="U10" i="2"/>
  <c r="J10" i="2"/>
  <c r="AM10" i="2"/>
  <c r="AS9" i="2"/>
  <c r="I10" i="2"/>
  <c r="AH10" i="2"/>
  <c r="BT9" i="2"/>
  <c r="S10" i="2"/>
  <c r="BW9" i="2"/>
  <c r="T10" i="2"/>
  <c r="AE10" i="2"/>
  <c r="K10" i="2"/>
  <c r="AB9" i="2"/>
  <c r="BF9" i="2"/>
  <c r="BA9" i="2"/>
  <c r="AI9" i="2"/>
  <c r="AQ9" i="2"/>
  <c r="Y9" i="2"/>
  <c r="AO9" i="2"/>
  <c r="W9" i="2"/>
  <c r="BU9" i="2"/>
  <c r="AY9" i="2"/>
  <c r="AG9" i="2"/>
  <c r="AA9" i="2"/>
  <c r="AN9" i="2"/>
  <c r="V9" i="2"/>
  <c r="AX9" i="2"/>
  <c r="AF9" i="2"/>
  <c r="BO9" i="2"/>
  <c r="AC9" i="2"/>
  <c r="AK9" i="2"/>
  <c r="BH9" i="2"/>
  <c r="AP9" i="2"/>
  <c r="AL9" i="2"/>
  <c r="AR9" i="2"/>
  <c r="BQ10" i="2" s="1"/>
  <c r="Z9" i="2"/>
  <c r="AV9" i="2"/>
  <c r="AD9" i="2"/>
  <c r="BB9" i="2"/>
  <c r="AJ9" i="2"/>
  <c r="BI10" i="2" s="1"/>
  <c r="BE9" i="2"/>
  <c r="AW9" i="2"/>
  <c r="BT10" i="2" l="1"/>
  <c r="BX10" i="2"/>
  <c r="BR10" i="2"/>
  <c r="BR11" i="2" s="1"/>
  <c r="BU10" i="2"/>
  <c r="BU11" i="2" s="1"/>
  <c r="L12" i="2"/>
  <c r="P12" i="2"/>
  <c r="N12" i="2"/>
  <c r="O12" i="2"/>
  <c r="Q12" i="2"/>
  <c r="AS10" i="2"/>
  <c r="AR10" i="2"/>
  <c r="X12" i="2"/>
  <c r="T11" i="2"/>
  <c r="K11" i="2"/>
  <c r="U11" i="2"/>
  <c r="I11" i="2"/>
  <c r="R11" i="2"/>
  <c r="BH10" i="2"/>
  <c r="BQ11" i="2" s="1"/>
  <c r="J11" i="2"/>
  <c r="S11" i="2"/>
  <c r="BM10" i="2"/>
  <c r="AN10" i="2"/>
  <c r="AA10" i="2"/>
  <c r="AZ10" i="2"/>
  <c r="BI11" i="2" s="1"/>
  <c r="AD10" i="2"/>
  <c r="AM11" i="2" s="1"/>
  <c r="BC10" i="2"/>
  <c r="BL11" i="2" s="1"/>
  <c r="AV10" i="2"/>
  <c r="W10" i="2"/>
  <c r="BN10" i="2"/>
  <c r="AO10" i="2"/>
  <c r="Y10" i="2"/>
  <c r="AX10" i="2"/>
  <c r="BG11" i="2" s="1"/>
  <c r="BO10" i="2"/>
  <c r="AP10" i="2"/>
  <c r="BF10" i="2"/>
  <c r="AG10" i="2"/>
  <c r="Z10" i="2"/>
  <c r="AY10" i="2"/>
  <c r="BK10" i="2"/>
  <c r="AL10" i="2"/>
  <c r="BP10" i="2"/>
  <c r="BP11" i="2" s="1"/>
  <c r="AQ10" i="2"/>
  <c r="BJ10" i="2"/>
  <c r="BS11" i="2" s="1"/>
  <c r="AK10" i="2"/>
  <c r="AT11" i="2" s="1"/>
  <c r="AT12" i="2" s="1"/>
  <c r="AC10" i="2"/>
  <c r="AL11" i="2" s="1"/>
  <c r="BB10" i="2"/>
  <c r="AI10" i="2"/>
  <c r="AB10" i="2"/>
  <c r="BA10" i="2"/>
  <c r="BE10" i="2"/>
  <c r="AF10" i="2"/>
  <c r="AJ10" i="2"/>
  <c r="BW10" i="2"/>
  <c r="BV10" i="2"/>
  <c r="AW10" i="2"/>
  <c r="AU10" i="2"/>
  <c r="BD11" i="2" s="1"/>
  <c r="V10" i="2"/>
  <c r="BT11" i="2" l="1"/>
  <c r="BX11" i="2"/>
  <c r="BX12" i="2" s="1"/>
  <c r="BW11" i="2"/>
  <c r="AZ11" i="2"/>
  <c r="BQ12" i="2"/>
  <c r="BE11" i="2"/>
  <c r="BF11" i="2"/>
  <c r="T12" i="2"/>
  <c r="AS11" i="2"/>
  <c r="S12" i="2"/>
  <c r="J12" i="2"/>
  <c r="BJ11" i="2"/>
  <c r="R12" i="2"/>
  <c r="AK11" i="2"/>
  <c r="I12" i="2"/>
  <c r="AM12" i="2"/>
  <c r="AR11" i="2"/>
  <c r="AQ11" i="2"/>
  <c r="BK11" i="2"/>
  <c r="U12" i="2"/>
  <c r="AL12" i="2"/>
  <c r="BP12" i="2"/>
  <c r="K12" i="2"/>
  <c r="V11" i="2"/>
  <c r="AE11" i="2"/>
  <c r="BA11" i="2"/>
  <c r="AJ11" i="2"/>
  <c r="AA11" i="2"/>
  <c r="AH11" i="2"/>
  <c r="Y11" i="2"/>
  <c r="BH11" i="2"/>
  <c r="AX11" i="2"/>
  <c r="AX12" i="2" s="1"/>
  <c r="AF11" i="2"/>
  <c r="W11" i="2"/>
  <c r="AU11" i="2"/>
  <c r="AU12" i="2" s="1"/>
  <c r="AD11" i="2"/>
  <c r="AB11" i="2"/>
  <c r="AW11" i="2"/>
  <c r="AW12" i="2" s="1"/>
  <c r="BB11" i="2"/>
  <c r="BB12" i="2" s="1"/>
  <c r="AI11" i="2"/>
  <c r="Z11" i="2"/>
  <c r="BV11" i="2"/>
  <c r="AC11" i="2"/>
  <c r="AP11" i="2"/>
  <c r="AG11" i="2"/>
  <c r="AN11" i="2"/>
  <c r="BR12" i="2" s="1"/>
  <c r="AO11" i="2"/>
  <c r="BS12" i="2" s="1"/>
  <c r="BO11" i="2"/>
  <c r="BM11" i="2"/>
  <c r="BN11" i="2"/>
  <c r="AY11" i="2"/>
  <c r="AY12" i="2" s="1"/>
  <c r="AV11" i="2"/>
  <c r="AV12" i="2" s="1"/>
  <c r="BC11" i="2"/>
  <c r="BE12" i="2" l="1"/>
  <c r="AA12" i="2"/>
  <c r="BC12" i="2"/>
  <c r="Y12" i="2"/>
  <c r="BL12" i="2"/>
  <c r="AH12" i="2"/>
  <c r="BM12" i="2"/>
  <c r="AI12" i="2"/>
  <c r="BT12" i="2"/>
  <c r="AP12" i="2"/>
  <c r="BO12" i="2"/>
  <c r="AK12" i="2"/>
  <c r="BD12" i="2"/>
  <c r="Z12" i="2"/>
  <c r="AE12" i="2"/>
  <c r="BI12" i="2"/>
  <c r="AO12" i="2"/>
  <c r="AN12" i="2"/>
  <c r="AB12" i="2"/>
  <c r="BF12" i="2"/>
  <c r="BH12" i="2"/>
  <c r="AD12" i="2"/>
  <c r="BW12" i="2"/>
  <c r="AS12" i="2"/>
  <c r="BK12" i="2"/>
  <c r="AG12" i="2"/>
  <c r="AJ12" i="2"/>
  <c r="BN12" i="2"/>
  <c r="BU12" i="2"/>
  <c r="AQ12" i="2"/>
  <c r="BV12" i="2"/>
  <c r="AR12" i="2"/>
  <c r="BG12" i="2"/>
  <c r="AC12" i="2"/>
  <c r="V12" i="2"/>
  <c r="AZ12" i="2"/>
  <c r="BA12" i="2"/>
  <c r="W12" i="2"/>
  <c r="AF12" i="2"/>
  <c r="BJ12" i="2"/>
</calcChain>
</file>

<file path=xl/sharedStrings.xml><?xml version="1.0" encoding="utf-8"?>
<sst xmlns="http://schemas.openxmlformats.org/spreadsheetml/2006/main" count="58" uniqueCount="38">
  <si>
    <t>Warehouse Storage Optimization - 0/1 Knapsack Model</t>
  </si>
  <si>
    <t>Product</t>
  </si>
  <si>
    <t>Space (m³)</t>
  </si>
  <si>
    <t>Profit ($)</t>
  </si>
  <si>
    <t>Select? (0/1)</t>
  </si>
  <si>
    <t>Space Used</t>
  </si>
  <si>
    <t>Profit Earned</t>
  </si>
  <si>
    <t>P1</t>
  </si>
  <si>
    <t>P2</t>
  </si>
  <si>
    <t>P3</t>
  </si>
  <si>
    <t>P4</t>
  </si>
  <si>
    <t>P5</t>
  </si>
  <si>
    <t>P6</t>
  </si>
  <si>
    <t>P7</t>
  </si>
  <si>
    <t>P8</t>
  </si>
  <si>
    <t>Total Space Used:</t>
  </si>
  <si>
    <t>Total Profit:</t>
  </si>
  <si>
    <t>Capacity (m³):</t>
  </si>
  <si>
    <t>Solver Setup Instructions (Excel):</t>
  </si>
  <si>
    <t>1. Set Objective: Cell B14 (Total Profit) to Maximize.</t>
  </si>
  <si>
    <t>2. By Changing Variable Cells: D4:D11 (Select? column).</t>
  </si>
  <si>
    <t>3. Add Constraint: B13 &lt;= B15 (Total Space Used &lt;= Capacity).</t>
  </si>
  <si>
    <t>4. Add Constraint: D4:D11 are Binary (0 or 1).</t>
  </si>
  <si>
    <t>5. Choose Simplex LP or Evolutionary and click Solve.</t>
  </si>
  <si>
    <t xml:space="preserve">Capacity </t>
  </si>
  <si>
    <t>Item 0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</si>
  <si>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</si>
  <si>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</si>
  <si>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</si>
  <si>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</si>
  <si>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</si>
  <si>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</si>
  <si>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</si>
  <si>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</si>
  <si>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Selected</t>
  </si>
  <si>
    <t>Optimized Profit ($)</t>
  </si>
  <si>
    <t>Total Profit ( $)</t>
  </si>
  <si>
    <t>Total Space (m³)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</si>
</sst>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DCE6F1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0" fillId="3" borderId="0" xfId="0" applyFill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0" fillId="4" borderId="0" xfId="0" applyFill="1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0" fillId="7" borderId="0" xfId="0" applyFill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75</xdr:col>
      <xdr:colOff>213360</xdr:colOff>
      <xdr:row>10</xdr:row>
      <xdr:rowOff>15240</xdr:rowOff>
    </xdr:from>
    <xdr:to>
      <xdr:col>76</xdr:col>
      <xdr:colOff>99060</xdr:colOff>
      <xdr:row>12</xdr:row>
      <xdr:rowOff>30480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676B861-6196-E934-0F88-269003F2CC6A}"/>
            </a:ext>
          </a:extLst>
        </xdr:cNvPr>
        <xdr:cNvSpPr/>
      </xdr:nvSpPr>
      <xdr:spPr>
        <a:xfrm>
          <a:off x="46017180" y="1844040"/>
          <a:ext cx="495300" cy="381000"/>
        </a:xfrm>
        <a:custGeom>
          <a:avLst/>
          <a:gdLst>
            <a:gd name="csX0" fmla="*/ 0 w 495300"/>
            <a:gd name="csY0" fmla="*/ 190500 h 381000"/>
            <a:gd name="csX1" fmla="*/ 247650 w 495300"/>
            <a:gd name="csY1" fmla="*/ 0 h 381000"/>
            <a:gd name="csX2" fmla="*/ 495300 w 495300"/>
            <a:gd name="csY2" fmla="*/ 190500 h 381000"/>
            <a:gd name="csX3" fmla="*/ 247650 w 495300"/>
            <a:gd name="csY3" fmla="*/ 381000 h 381000"/>
            <a:gd name="csX4" fmla="*/ 0 w 495300"/>
            <a:gd name="csY4" fmla="*/ 190500 h 38100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95300" h="381000" extrusionOk="0">
              <a:moveTo>
                <a:pt x="0" y="190500"/>
              </a:moveTo>
              <a:cubicBezTo>
                <a:pt x="1130" y="76790"/>
                <a:pt x="133329" y="18086"/>
                <a:pt x="247650" y="0"/>
              </a:cubicBezTo>
              <a:cubicBezTo>
                <a:pt x="365724" y="-7070"/>
                <a:pt x="503229" y="57490"/>
                <a:pt x="495300" y="190500"/>
              </a:cubicBezTo>
              <a:cubicBezTo>
                <a:pt x="509742" y="286164"/>
                <a:pt x="381236" y="389121"/>
                <a:pt x="247650" y="381000"/>
              </a:cubicBezTo>
              <a:cubicBezTo>
                <a:pt x="106666" y="394831"/>
                <a:pt x="8679" y="288076"/>
                <a:pt x="0" y="190500"/>
              </a:cubicBezTo>
              <a:close/>
            </a:path>
          </a:pathLst>
        </a:cu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  <a:extLst>
            <a:ext uri="{C807C97D-BFC1-408E-A445-0C87EB9F89A2}">
              <ask:lineSketchStyleProps xmlns:ask="http://schemas.microsoft.com/office/drawing/2018/sketchyshapes" sd="4266498984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67</xdr:col>
      <xdr:colOff>117418</xdr:colOff>
      <xdr:row>11</xdr:row>
      <xdr:rowOff>22860</xdr:rowOff>
    </xdr:from>
    <xdr:to>
      <xdr:col>76</xdr:col>
      <xdr:colOff>99060</xdr:colOff>
      <xdr:row>15</xdr:row>
      <xdr:rowOff>81741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14B9EB3-D95C-16E2-59E5-DEC6F0EFA919}"/>
            </a:ext>
          </a:extLst>
        </xdr:cNvPr>
        <xdr:cNvCxnSpPr>
          <a:stCxn id="4" idx="6"/>
          <a:endCxn id="7" idx="0"/>
        </xdr:cNvCxnSpPr>
      </xdr:nvCxnSpPr>
      <xdr:spPr>
        <a:xfrm flipH="1">
          <a:off x="40815145" y="2023110"/>
          <a:ext cx="5436870" cy="7862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534786</xdr:colOff>
      <xdr:row>15</xdr:row>
      <xdr:rowOff>81741</xdr:rowOff>
    </xdr:from>
    <xdr:to>
      <xdr:col>70</xdr:col>
      <xdr:colOff>306186</xdr:colOff>
      <xdr:row>19</xdr:row>
      <xdr:rowOff>96981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CB271DF-A2F6-5F2B-FA58-ABE51D71BA2F}"/>
            </a:ext>
          </a:extLst>
        </xdr:cNvPr>
        <xdr:cNvSpPr txBox="1"/>
      </xdr:nvSpPr>
      <xdr:spPr>
        <a:xfrm>
          <a:off x="38807968" y="2809355"/>
          <a:ext cx="4014354" cy="7426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0" i="1"/>
            <a:t>(move bottom</a:t>
          </a:r>
          <a:r>
            <a:rPr lang="en-US" b="0" i="1" baseline="0"/>
            <a:t> to up)</a:t>
          </a:r>
          <a:br>
            <a:rPr lang="en-US" b="0" i="1"/>
          </a:br>
          <a:r>
            <a:rPr lang="en-US"/>
            <a:t>Record: </a:t>
          </a:r>
          <a:r>
            <a:rPr lang="en-US" b="1"/>
            <a:t>P8 is selected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(being  diffrent)</a:t>
          </a:r>
          <a:endParaRPr lang="en-US"/>
        </a:p>
        <a:p>
          <a:r>
            <a:rPr lang="en-US"/>
            <a:t>New capacity(70- weight):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70 − 30 = 40</a:t>
          </a:r>
          <a:endParaRPr lang="en-US"/>
        </a:p>
        <a:p>
          <a:r>
            <a:rPr lang="en-US"/>
            <a:t>Move to row 7, column 40.</a:t>
          </a:r>
        </a:p>
      </xdr:txBody>
    </xdr:sp>
    <xdr:clientData/>
  </xdr:twoCellAnchor>
  <xdr:twoCellAnchor>
    <xdr:from>
      <xdr:col>45</xdr:col>
      <xdr:colOff>358140</xdr:colOff>
      <xdr:row>9</xdr:row>
      <xdr:rowOff>15240</xdr:rowOff>
    </xdr:from>
    <xdr:to>
      <xdr:col>46</xdr:col>
      <xdr:colOff>243840</xdr:colOff>
      <xdr:row>11</xdr:row>
      <xdr:rowOff>30480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268CC549-EBB7-45E4-BB2A-54B68E8221CE}"/>
            </a:ext>
          </a:extLst>
        </xdr:cNvPr>
        <xdr:cNvSpPr/>
      </xdr:nvSpPr>
      <xdr:spPr>
        <a:xfrm>
          <a:off x="27873960" y="1661160"/>
          <a:ext cx="495300" cy="381000"/>
        </a:xfrm>
        <a:custGeom>
          <a:avLst/>
          <a:gdLst>
            <a:gd name="csX0" fmla="*/ 0 w 495300"/>
            <a:gd name="csY0" fmla="*/ 190500 h 381000"/>
            <a:gd name="csX1" fmla="*/ 247650 w 495300"/>
            <a:gd name="csY1" fmla="*/ 0 h 381000"/>
            <a:gd name="csX2" fmla="*/ 495300 w 495300"/>
            <a:gd name="csY2" fmla="*/ 190500 h 381000"/>
            <a:gd name="csX3" fmla="*/ 247650 w 495300"/>
            <a:gd name="csY3" fmla="*/ 381000 h 381000"/>
            <a:gd name="csX4" fmla="*/ 0 w 495300"/>
            <a:gd name="csY4" fmla="*/ 190500 h 38100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95300" h="381000" extrusionOk="0">
              <a:moveTo>
                <a:pt x="0" y="190500"/>
              </a:moveTo>
              <a:cubicBezTo>
                <a:pt x="1130" y="76790"/>
                <a:pt x="133329" y="18086"/>
                <a:pt x="247650" y="0"/>
              </a:cubicBezTo>
              <a:cubicBezTo>
                <a:pt x="365724" y="-7070"/>
                <a:pt x="503229" y="57490"/>
                <a:pt x="495300" y="190500"/>
              </a:cubicBezTo>
              <a:cubicBezTo>
                <a:pt x="509742" y="286164"/>
                <a:pt x="381236" y="389121"/>
                <a:pt x="247650" y="381000"/>
              </a:cubicBezTo>
              <a:cubicBezTo>
                <a:pt x="106666" y="394831"/>
                <a:pt x="8679" y="288076"/>
                <a:pt x="0" y="190500"/>
              </a:cubicBezTo>
              <a:close/>
            </a:path>
          </a:pathLst>
        </a:cu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  <a:extLst>
            <a:ext uri="{C807C97D-BFC1-408E-A445-0C87EB9F89A2}">
              <ask:lineSketchStyleProps xmlns:ask="http://schemas.microsoft.com/office/drawing/2018/sketchyshapes" sd="4266498984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243840</xdr:colOff>
      <xdr:row>10</xdr:row>
      <xdr:rowOff>22860</xdr:rowOff>
    </xdr:from>
    <xdr:to>
      <xdr:col>57</xdr:col>
      <xdr:colOff>248342</xdr:colOff>
      <xdr:row>15</xdr:row>
      <xdr:rowOff>113261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96D2411-86AD-4A3A-8235-036A42F3CF34}"/>
            </a:ext>
          </a:extLst>
        </xdr:cNvPr>
        <xdr:cNvCxnSpPr>
          <a:stCxn id="43" idx="6"/>
          <a:endCxn id="45" idx="0"/>
        </xdr:cNvCxnSpPr>
      </xdr:nvCxnSpPr>
      <xdr:spPr>
        <a:xfrm>
          <a:off x="28212704" y="1841269"/>
          <a:ext cx="6672002" cy="9996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59574</xdr:colOff>
      <xdr:row>15</xdr:row>
      <xdr:rowOff>113261</xdr:rowOff>
    </xdr:from>
    <xdr:to>
      <xdr:col>60</xdr:col>
      <xdr:colOff>437110</xdr:colOff>
      <xdr:row>19</xdr:row>
      <xdr:rowOff>128501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3314CA39-2B8F-47A0-8BC7-6D23C5258334}"/>
            </a:ext>
          </a:extLst>
        </xdr:cNvPr>
        <xdr:cNvSpPr txBox="1"/>
      </xdr:nvSpPr>
      <xdr:spPr>
        <a:xfrm>
          <a:off x="32877529" y="2840875"/>
          <a:ext cx="4014354" cy="7426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Record: </a:t>
          </a:r>
          <a:r>
            <a:rPr lang="en-US" b="1"/>
            <a:t>P7 is not selected(being same)</a:t>
          </a:r>
          <a:endParaRPr lang="en-US"/>
        </a:p>
        <a:p>
          <a:r>
            <a:rPr lang="en-US"/>
            <a:t> capacity: 40 (Since not selected)</a:t>
          </a:r>
        </a:p>
        <a:p>
          <a:r>
            <a:rPr lang="en-US"/>
            <a:t>Move to row 6</a:t>
          </a:r>
        </a:p>
      </xdr:txBody>
    </xdr:sp>
    <xdr:clientData/>
  </xdr:twoCellAnchor>
  <xdr:twoCellAnchor>
    <xdr:from>
      <xdr:col>45</xdr:col>
      <xdr:colOff>118643</xdr:colOff>
      <xdr:row>7</xdr:row>
      <xdr:rowOff>175806</xdr:rowOff>
    </xdr:from>
    <xdr:to>
      <xdr:col>46</xdr:col>
      <xdr:colOff>4343</xdr:colOff>
      <xdr:row>10</xdr:row>
      <xdr:rowOff>8998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A14D5CFC-88D5-4689-8662-3765CAE1D48D}"/>
            </a:ext>
          </a:extLst>
        </xdr:cNvPr>
        <xdr:cNvSpPr/>
      </xdr:nvSpPr>
      <xdr:spPr>
        <a:xfrm>
          <a:off x="27589653" y="1450140"/>
          <a:ext cx="494260" cy="379336"/>
        </a:xfrm>
        <a:custGeom>
          <a:avLst/>
          <a:gdLst>
            <a:gd name="csX0" fmla="*/ 0 w 494260"/>
            <a:gd name="csY0" fmla="*/ 189668 h 379336"/>
            <a:gd name="csX1" fmla="*/ 247130 w 494260"/>
            <a:gd name="csY1" fmla="*/ 0 h 379336"/>
            <a:gd name="csX2" fmla="*/ 494260 w 494260"/>
            <a:gd name="csY2" fmla="*/ 189668 h 379336"/>
            <a:gd name="csX3" fmla="*/ 247130 w 494260"/>
            <a:gd name="csY3" fmla="*/ 379336 h 379336"/>
            <a:gd name="csX4" fmla="*/ 0 w 494260"/>
            <a:gd name="csY4" fmla="*/ 189668 h 37933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94260" h="379336" extrusionOk="0">
              <a:moveTo>
                <a:pt x="0" y="189668"/>
              </a:moveTo>
              <a:cubicBezTo>
                <a:pt x="2035" y="69611"/>
                <a:pt x="129027" y="14809"/>
                <a:pt x="247130" y="0"/>
              </a:cubicBezTo>
              <a:cubicBezTo>
                <a:pt x="355495" y="-10633"/>
                <a:pt x="496736" y="76236"/>
                <a:pt x="494260" y="189668"/>
              </a:cubicBezTo>
              <a:cubicBezTo>
                <a:pt x="505674" y="286875"/>
                <a:pt x="375667" y="399591"/>
                <a:pt x="247130" y="379336"/>
              </a:cubicBezTo>
              <a:cubicBezTo>
                <a:pt x="103344" y="403311"/>
                <a:pt x="21396" y="275600"/>
                <a:pt x="0" y="189668"/>
              </a:cubicBezTo>
              <a:close/>
            </a:path>
          </a:pathLst>
        </a:cu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  <a:extLst>
            <a:ext uri="{C807C97D-BFC1-408E-A445-0C87EB9F89A2}">
              <ask:lineSketchStyleProps xmlns:ask="http://schemas.microsoft.com/office/drawing/2018/sketchyshapes" sd="4266498984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4343</xdr:colOff>
      <xdr:row>9</xdr:row>
      <xdr:rowOff>1482</xdr:rowOff>
    </xdr:from>
    <xdr:to>
      <xdr:col>49</xdr:col>
      <xdr:colOff>571847</xdr:colOff>
      <xdr:row>15</xdr:row>
      <xdr:rowOff>66501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6BBFA116-0279-4E2E-A6F8-D01F9E0108D2}"/>
            </a:ext>
          </a:extLst>
        </xdr:cNvPr>
        <xdr:cNvCxnSpPr>
          <a:stCxn id="46" idx="6"/>
          <a:endCxn id="48" idx="0"/>
        </xdr:cNvCxnSpPr>
      </xdr:nvCxnSpPr>
      <xdr:spPr>
        <a:xfrm>
          <a:off x="27973207" y="1638050"/>
          <a:ext cx="2385913" cy="11560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381347</xdr:colOff>
      <xdr:row>15</xdr:row>
      <xdr:rowOff>66501</xdr:rowOff>
    </xdr:from>
    <xdr:to>
      <xdr:col>53</xdr:col>
      <xdr:colOff>156211</xdr:colOff>
      <xdr:row>19</xdr:row>
      <xdr:rowOff>81741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124A07D3-BE8F-43F7-B35D-BE93D09FEAC6}"/>
            </a:ext>
          </a:extLst>
        </xdr:cNvPr>
        <xdr:cNvSpPr txBox="1"/>
      </xdr:nvSpPr>
      <xdr:spPr>
        <a:xfrm>
          <a:off x="28350211" y="2794115"/>
          <a:ext cx="4017818" cy="7426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Record: </a:t>
          </a:r>
          <a:r>
            <a:rPr lang="en-US" b="1"/>
            <a:t>P6 is not selected</a:t>
          </a:r>
          <a:r>
            <a:rPr lang="en-US" b="1" baseline="0"/>
            <a:t> </a:t>
          </a:r>
          <a:r>
            <a:rPr lang="en-US" b="1"/>
            <a:t>(being same)</a:t>
          </a:r>
          <a:endParaRPr lang="en-US"/>
        </a:p>
        <a:p>
          <a:r>
            <a:rPr lang="en-US"/>
            <a:t>New capacity: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40  </a:t>
          </a:r>
          <a:endParaRPr lang="en-US"/>
        </a:p>
        <a:p>
          <a:r>
            <a:rPr lang="en-US"/>
            <a:t>Move to row 5</a:t>
          </a:r>
        </a:p>
      </xdr:txBody>
    </xdr:sp>
    <xdr:clientData/>
  </xdr:twoCellAnchor>
  <xdr:twoCellAnchor>
    <xdr:from>
      <xdr:col>45</xdr:col>
      <xdr:colOff>331665</xdr:colOff>
      <xdr:row>6</xdr:row>
      <xdr:rowOff>147563</xdr:rowOff>
    </xdr:from>
    <xdr:to>
      <xdr:col>46</xdr:col>
      <xdr:colOff>217365</xdr:colOff>
      <xdr:row>8</xdr:row>
      <xdr:rowOff>162803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D2FE7184-759B-457D-BD22-A5C10F832BF2}"/>
            </a:ext>
          </a:extLst>
        </xdr:cNvPr>
        <xdr:cNvSpPr/>
      </xdr:nvSpPr>
      <xdr:spPr>
        <a:xfrm>
          <a:off x="27802675" y="1239850"/>
          <a:ext cx="494260" cy="379335"/>
        </a:xfrm>
        <a:custGeom>
          <a:avLst/>
          <a:gdLst>
            <a:gd name="csX0" fmla="*/ 0 w 494260"/>
            <a:gd name="csY0" fmla="*/ 189668 h 379335"/>
            <a:gd name="csX1" fmla="*/ 247130 w 494260"/>
            <a:gd name="csY1" fmla="*/ 0 h 379335"/>
            <a:gd name="csX2" fmla="*/ 494260 w 494260"/>
            <a:gd name="csY2" fmla="*/ 189668 h 379335"/>
            <a:gd name="csX3" fmla="*/ 247130 w 494260"/>
            <a:gd name="csY3" fmla="*/ 379336 h 379335"/>
            <a:gd name="csX4" fmla="*/ 0 w 494260"/>
            <a:gd name="csY4" fmla="*/ 189668 h 37933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94260" h="379335" extrusionOk="0">
              <a:moveTo>
                <a:pt x="0" y="189668"/>
              </a:moveTo>
              <a:cubicBezTo>
                <a:pt x="2035" y="69611"/>
                <a:pt x="129027" y="14809"/>
                <a:pt x="247130" y="0"/>
              </a:cubicBezTo>
              <a:cubicBezTo>
                <a:pt x="355495" y="-10633"/>
                <a:pt x="496736" y="76236"/>
                <a:pt x="494260" y="189668"/>
              </a:cubicBezTo>
              <a:cubicBezTo>
                <a:pt x="505674" y="286875"/>
                <a:pt x="375667" y="399591"/>
                <a:pt x="247130" y="379336"/>
              </a:cubicBezTo>
              <a:cubicBezTo>
                <a:pt x="103344" y="403311"/>
                <a:pt x="21396" y="275600"/>
                <a:pt x="0" y="189668"/>
              </a:cubicBezTo>
              <a:close/>
            </a:path>
          </a:pathLst>
        </a:cu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  <a:extLst>
            <a:ext uri="{C807C97D-BFC1-408E-A445-0C87EB9F89A2}">
              <ask:lineSketchStyleProps xmlns:ask="http://schemas.microsoft.com/office/drawing/2018/sketchyshapes" sd="4266498984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18704</xdr:colOff>
      <xdr:row>7</xdr:row>
      <xdr:rowOff>155183</xdr:rowOff>
    </xdr:from>
    <xdr:to>
      <xdr:col>46</xdr:col>
      <xdr:colOff>217365</xdr:colOff>
      <xdr:row>15</xdr:row>
      <xdr:rowOff>68234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E62FEDF4-42D2-4B5D-875A-40C2A9BC7843}"/>
            </a:ext>
          </a:extLst>
        </xdr:cNvPr>
        <xdr:cNvCxnSpPr>
          <a:stCxn id="51" idx="6"/>
          <a:endCxn id="53" idx="0"/>
        </xdr:cNvCxnSpPr>
      </xdr:nvCxnSpPr>
      <xdr:spPr>
        <a:xfrm flipH="1">
          <a:off x="26169159" y="1428069"/>
          <a:ext cx="2017070" cy="13677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436072</xdr:colOff>
      <xdr:row>15</xdr:row>
      <xdr:rowOff>68234</xdr:rowOff>
    </xdr:from>
    <xdr:to>
      <xdr:col>46</xdr:col>
      <xdr:colOff>207472</xdr:colOff>
      <xdr:row>19</xdr:row>
      <xdr:rowOff>83475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509248AB-140D-4DF6-BDB4-6B5D885B4D5C}"/>
            </a:ext>
          </a:extLst>
        </xdr:cNvPr>
        <xdr:cNvSpPr txBox="1"/>
      </xdr:nvSpPr>
      <xdr:spPr>
        <a:xfrm>
          <a:off x="24161981" y="2795848"/>
          <a:ext cx="4014355" cy="7426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Record: </a:t>
          </a:r>
          <a:r>
            <a:rPr lang="en-US" b="1"/>
            <a:t>P5 is  selected</a:t>
          </a:r>
          <a:r>
            <a:rPr lang="en-US" b="1" baseline="0"/>
            <a:t> </a:t>
          </a:r>
          <a:r>
            <a:rPr lang="en-US" b="1"/>
            <a:t>(being diffrent)</a:t>
          </a:r>
          <a:endParaRPr lang="en-US"/>
        </a:p>
        <a:p>
          <a:r>
            <a:rPr lang="en-US"/>
            <a:t>New capacity: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40  - 18 =  22</a:t>
          </a:r>
          <a:endParaRPr lang="en-US"/>
        </a:p>
        <a:p>
          <a:r>
            <a:rPr lang="en-US"/>
            <a:t>Move to row 4, Col 22</a:t>
          </a:r>
        </a:p>
      </xdr:txBody>
    </xdr:sp>
    <xdr:clientData/>
  </xdr:twoCellAnchor>
  <xdr:twoCellAnchor>
    <xdr:from>
      <xdr:col>27</xdr:col>
      <xdr:colOff>311229</xdr:colOff>
      <xdr:row>5</xdr:row>
      <xdr:rowOff>164522</xdr:rowOff>
    </xdr:from>
    <xdr:to>
      <xdr:col>28</xdr:col>
      <xdr:colOff>196930</xdr:colOff>
      <xdr:row>7</xdr:row>
      <xdr:rowOff>179763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357081AB-1BAA-40AE-8DA4-9D932F4A4240}"/>
            </a:ext>
          </a:extLst>
        </xdr:cNvPr>
        <xdr:cNvSpPr/>
      </xdr:nvSpPr>
      <xdr:spPr>
        <a:xfrm>
          <a:off x="16763502" y="1073727"/>
          <a:ext cx="491837" cy="378922"/>
        </a:xfrm>
        <a:custGeom>
          <a:avLst/>
          <a:gdLst>
            <a:gd name="csX0" fmla="*/ 0 w 491837"/>
            <a:gd name="csY0" fmla="*/ 189461 h 378922"/>
            <a:gd name="csX1" fmla="*/ 245919 w 491837"/>
            <a:gd name="csY1" fmla="*/ 0 h 378922"/>
            <a:gd name="csX2" fmla="*/ 491838 w 491837"/>
            <a:gd name="csY2" fmla="*/ 189461 h 378922"/>
            <a:gd name="csX3" fmla="*/ 245919 w 491837"/>
            <a:gd name="csY3" fmla="*/ 378922 h 378922"/>
            <a:gd name="csX4" fmla="*/ 0 w 491837"/>
            <a:gd name="csY4" fmla="*/ 189461 h 37892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91837" h="378922" extrusionOk="0">
              <a:moveTo>
                <a:pt x="0" y="189461"/>
              </a:moveTo>
              <a:cubicBezTo>
                <a:pt x="1260" y="75346"/>
                <a:pt x="133824" y="19109"/>
                <a:pt x="245919" y="0"/>
              </a:cubicBezTo>
              <a:cubicBezTo>
                <a:pt x="367452" y="-5401"/>
                <a:pt x="496954" y="66887"/>
                <a:pt x="491838" y="189461"/>
              </a:cubicBezTo>
              <a:cubicBezTo>
                <a:pt x="508512" y="283076"/>
                <a:pt x="376660" y="391856"/>
                <a:pt x="245919" y="378922"/>
              </a:cubicBezTo>
              <a:cubicBezTo>
                <a:pt x="107452" y="387625"/>
                <a:pt x="1803" y="292511"/>
                <a:pt x="0" y="189461"/>
              </a:cubicBezTo>
              <a:close/>
            </a:path>
          </a:pathLst>
        </a:cu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  <a:extLst>
            <a:ext uri="{C807C97D-BFC1-408E-A445-0C87EB9F89A2}">
              <ask:lineSketchStyleProps xmlns:ask="http://schemas.microsoft.com/office/drawing/2018/sketchyshapes" sd="4266498984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196930</xdr:colOff>
      <xdr:row>6</xdr:row>
      <xdr:rowOff>172143</xdr:rowOff>
    </xdr:from>
    <xdr:to>
      <xdr:col>35</xdr:col>
      <xdr:colOff>500496</xdr:colOff>
      <xdr:row>15</xdr:row>
      <xdr:rowOff>50557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D2829D3D-D5EB-4349-BE07-54528EC73A29}"/>
            </a:ext>
          </a:extLst>
        </xdr:cNvPr>
        <xdr:cNvCxnSpPr>
          <a:stCxn id="8" idx="6"/>
          <a:endCxn id="10" idx="0"/>
        </xdr:cNvCxnSpPr>
      </xdr:nvCxnSpPr>
      <xdr:spPr>
        <a:xfrm>
          <a:off x="17255339" y="1263188"/>
          <a:ext cx="4546521" cy="15149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311727</xdr:colOff>
      <xdr:row>15</xdr:row>
      <xdr:rowOff>50557</xdr:rowOff>
    </xdr:from>
    <xdr:to>
      <xdr:col>39</xdr:col>
      <xdr:colOff>83128</xdr:colOff>
      <xdr:row>19</xdr:row>
      <xdr:rowOff>65798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B25BE9E-D9AA-47BE-8321-5445D1D4BC83}"/>
            </a:ext>
          </a:extLst>
        </xdr:cNvPr>
        <xdr:cNvSpPr txBox="1"/>
      </xdr:nvSpPr>
      <xdr:spPr>
        <a:xfrm>
          <a:off x="20920363" y="2778171"/>
          <a:ext cx="4014356" cy="9244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Record: </a:t>
          </a:r>
          <a:r>
            <a:rPr lang="en-US" b="1"/>
            <a:t>P4 is  selected</a:t>
          </a:r>
          <a:r>
            <a:rPr lang="en-US" b="1" baseline="0"/>
            <a:t> </a:t>
          </a:r>
          <a:r>
            <a:rPr lang="en-US" b="1"/>
            <a:t>(being diffrent)</a:t>
          </a:r>
          <a:endParaRPr lang="en-US"/>
        </a:p>
        <a:p>
          <a:r>
            <a:rPr lang="en-US"/>
            <a:t>New capacity: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22  -10   =  12</a:t>
          </a:r>
          <a:endParaRPr lang="en-US"/>
        </a:p>
        <a:p>
          <a:r>
            <a:rPr lang="en-US"/>
            <a:t>Move to row 3, Col 12</a:t>
          </a:r>
        </a:p>
      </xdr:txBody>
    </xdr:sp>
    <xdr:clientData/>
  </xdr:twoCellAnchor>
  <xdr:twoCellAnchor>
    <xdr:from>
      <xdr:col>17</xdr:col>
      <xdr:colOff>380502</xdr:colOff>
      <xdr:row>4</xdr:row>
      <xdr:rowOff>173181</xdr:rowOff>
    </xdr:from>
    <xdr:to>
      <xdr:col>18</xdr:col>
      <xdr:colOff>266203</xdr:colOff>
      <xdr:row>7</xdr:row>
      <xdr:rowOff>6581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45949A69-7594-4C8C-9585-02E8461E8C28}"/>
            </a:ext>
          </a:extLst>
        </xdr:cNvPr>
        <xdr:cNvSpPr/>
      </xdr:nvSpPr>
      <xdr:spPr>
        <a:xfrm>
          <a:off x="10771411" y="900545"/>
          <a:ext cx="491837" cy="378922"/>
        </a:xfrm>
        <a:custGeom>
          <a:avLst/>
          <a:gdLst>
            <a:gd name="csX0" fmla="*/ 0 w 491837"/>
            <a:gd name="csY0" fmla="*/ 189461 h 378922"/>
            <a:gd name="csX1" fmla="*/ 245919 w 491837"/>
            <a:gd name="csY1" fmla="*/ 0 h 378922"/>
            <a:gd name="csX2" fmla="*/ 491838 w 491837"/>
            <a:gd name="csY2" fmla="*/ 189461 h 378922"/>
            <a:gd name="csX3" fmla="*/ 245919 w 491837"/>
            <a:gd name="csY3" fmla="*/ 378922 h 378922"/>
            <a:gd name="csX4" fmla="*/ 0 w 491837"/>
            <a:gd name="csY4" fmla="*/ 189461 h 37892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91837" h="378922" extrusionOk="0">
              <a:moveTo>
                <a:pt x="0" y="189461"/>
              </a:moveTo>
              <a:cubicBezTo>
                <a:pt x="1260" y="75346"/>
                <a:pt x="133824" y="19109"/>
                <a:pt x="245919" y="0"/>
              </a:cubicBezTo>
              <a:cubicBezTo>
                <a:pt x="367452" y="-5401"/>
                <a:pt x="496954" y="66887"/>
                <a:pt x="491838" y="189461"/>
              </a:cubicBezTo>
              <a:cubicBezTo>
                <a:pt x="508512" y="283076"/>
                <a:pt x="376660" y="391856"/>
                <a:pt x="245919" y="378922"/>
              </a:cubicBezTo>
              <a:cubicBezTo>
                <a:pt x="107452" y="387625"/>
                <a:pt x="1803" y="292511"/>
                <a:pt x="0" y="189461"/>
              </a:cubicBezTo>
              <a:close/>
            </a:path>
          </a:pathLst>
        </a:cu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  <a:extLst>
            <a:ext uri="{C807C97D-BFC1-408E-A445-0C87EB9F89A2}">
              <ask:lineSketchStyleProps xmlns:ask="http://schemas.microsoft.com/office/drawing/2018/sketchyshapes" sd="4266498984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266203</xdr:colOff>
      <xdr:row>5</xdr:row>
      <xdr:rowOff>180801</xdr:rowOff>
    </xdr:from>
    <xdr:to>
      <xdr:col>28</xdr:col>
      <xdr:colOff>483177</xdr:colOff>
      <xdr:row>15</xdr:row>
      <xdr:rowOff>50557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354F06CB-ECC4-4D6C-A767-FF69626C8677}"/>
            </a:ext>
          </a:extLst>
        </xdr:cNvPr>
        <xdr:cNvCxnSpPr>
          <a:stCxn id="11" idx="6"/>
          <a:endCxn id="13" idx="0"/>
        </xdr:cNvCxnSpPr>
      </xdr:nvCxnSpPr>
      <xdr:spPr>
        <a:xfrm>
          <a:off x="11263248" y="1090006"/>
          <a:ext cx="6278338" cy="16881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294408</xdr:colOff>
      <xdr:row>15</xdr:row>
      <xdr:rowOff>50557</xdr:rowOff>
    </xdr:from>
    <xdr:to>
      <xdr:col>32</xdr:col>
      <xdr:colOff>65808</xdr:colOff>
      <xdr:row>19</xdr:row>
      <xdr:rowOff>65798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6CA994F-E5D1-40EA-9F03-1FCF32E1C9D4}"/>
            </a:ext>
          </a:extLst>
        </xdr:cNvPr>
        <xdr:cNvSpPr txBox="1"/>
      </xdr:nvSpPr>
      <xdr:spPr>
        <a:xfrm>
          <a:off x="15534408" y="2778171"/>
          <a:ext cx="4014355" cy="7426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Record: </a:t>
          </a:r>
          <a:r>
            <a:rPr lang="en-US" b="1"/>
            <a:t>P3 is not selected</a:t>
          </a:r>
          <a:r>
            <a:rPr lang="en-US" b="1" baseline="0"/>
            <a:t> </a:t>
          </a:r>
          <a:r>
            <a:rPr lang="en-US" b="1"/>
            <a:t>(being same)</a:t>
          </a:r>
          <a:endParaRPr lang="en-US"/>
        </a:p>
        <a:p>
          <a:r>
            <a:rPr lang="en-US"/>
            <a:t>New capacity: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12</a:t>
          </a:r>
          <a:endParaRPr lang="en-US"/>
        </a:p>
        <a:p>
          <a:r>
            <a:rPr lang="en-US"/>
            <a:t>Move to row 2, Col 12</a:t>
          </a:r>
        </a:p>
      </xdr:txBody>
    </xdr:sp>
    <xdr:clientData/>
  </xdr:twoCellAnchor>
  <xdr:twoCellAnchor>
    <xdr:from>
      <xdr:col>17</xdr:col>
      <xdr:colOff>155366</xdr:colOff>
      <xdr:row>4</xdr:row>
      <xdr:rowOff>1</xdr:rowOff>
    </xdr:from>
    <xdr:to>
      <xdr:col>18</xdr:col>
      <xdr:colOff>41067</xdr:colOff>
      <xdr:row>6</xdr:row>
      <xdr:rowOff>15242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03E2985-6496-431E-9184-DED28E375350}"/>
            </a:ext>
          </a:extLst>
        </xdr:cNvPr>
        <xdr:cNvSpPr/>
      </xdr:nvSpPr>
      <xdr:spPr>
        <a:xfrm>
          <a:off x="10546275" y="727365"/>
          <a:ext cx="491837" cy="378922"/>
        </a:xfrm>
        <a:custGeom>
          <a:avLst/>
          <a:gdLst>
            <a:gd name="csX0" fmla="*/ 0 w 491837"/>
            <a:gd name="csY0" fmla="*/ 189461 h 378922"/>
            <a:gd name="csX1" fmla="*/ 245919 w 491837"/>
            <a:gd name="csY1" fmla="*/ 0 h 378922"/>
            <a:gd name="csX2" fmla="*/ 491838 w 491837"/>
            <a:gd name="csY2" fmla="*/ 189461 h 378922"/>
            <a:gd name="csX3" fmla="*/ 245919 w 491837"/>
            <a:gd name="csY3" fmla="*/ 378922 h 378922"/>
            <a:gd name="csX4" fmla="*/ 0 w 491837"/>
            <a:gd name="csY4" fmla="*/ 189461 h 37892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91837" h="378922" extrusionOk="0">
              <a:moveTo>
                <a:pt x="0" y="189461"/>
              </a:moveTo>
              <a:cubicBezTo>
                <a:pt x="1260" y="75346"/>
                <a:pt x="133824" y="19109"/>
                <a:pt x="245919" y="0"/>
              </a:cubicBezTo>
              <a:cubicBezTo>
                <a:pt x="367452" y="-5401"/>
                <a:pt x="496954" y="66887"/>
                <a:pt x="491838" y="189461"/>
              </a:cubicBezTo>
              <a:cubicBezTo>
                <a:pt x="508512" y="283076"/>
                <a:pt x="376660" y="391856"/>
                <a:pt x="245919" y="378922"/>
              </a:cubicBezTo>
              <a:cubicBezTo>
                <a:pt x="107452" y="387625"/>
                <a:pt x="1803" y="292511"/>
                <a:pt x="0" y="189461"/>
              </a:cubicBezTo>
              <a:close/>
            </a:path>
          </a:pathLst>
        </a:cu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  <a:extLst>
            <a:ext uri="{C807C97D-BFC1-408E-A445-0C87EB9F89A2}">
              <ask:lineSketchStyleProps xmlns:ask="http://schemas.microsoft.com/office/drawing/2018/sketchyshapes" sd="4266498984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41067</xdr:colOff>
      <xdr:row>5</xdr:row>
      <xdr:rowOff>7621</xdr:rowOff>
    </xdr:from>
    <xdr:to>
      <xdr:col>21</xdr:col>
      <xdr:colOff>396586</xdr:colOff>
      <xdr:row>15</xdr:row>
      <xdr:rowOff>67877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250D3383-75F5-43A9-B43E-0017A5E65ECC}"/>
            </a:ext>
          </a:extLst>
        </xdr:cNvPr>
        <xdr:cNvCxnSpPr>
          <a:stCxn id="15" idx="6"/>
          <a:endCxn id="17" idx="0"/>
        </xdr:cNvCxnSpPr>
      </xdr:nvCxnSpPr>
      <xdr:spPr>
        <a:xfrm>
          <a:off x="11038112" y="916826"/>
          <a:ext cx="2173929" cy="18786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207818</xdr:colOff>
      <xdr:row>15</xdr:row>
      <xdr:rowOff>67877</xdr:rowOff>
    </xdr:from>
    <xdr:to>
      <xdr:col>24</xdr:col>
      <xdr:colOff>585354</xdr:colOff>
      <xdr:row>19</xdr:row>
      <xdr:rowOff>83118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F15FB83-7E12-4998-B109-9BCD6B019824}"/>
            </a:ext>
          </a:extLst>
        </xdr:cNvPr>
        <xdr:cNvSpPr txBox="1"/>
      </xdr:nvSpPr>
      <xdr:spPr>
        <a:xfrm>
          <a:off x="11204863" y="2795491"/>
          <a:ext cx="4014355" cy="7426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Record: </a:t>
          </a:r>
          <a:r>
            <a:rPr lang="en-US" b="1"/>
            <a:t>P2 is not selected</a:t>
          </a:r>
          <a:r>
            <a:rPr lang="en-US" b="1" baseline="0"/>
            <a:t> </a:t>
          </a:r>
          <a:r>
            <a:rPr lang="en-US" b="1"/>
            <a:t>(being same)</a:t>
          </a:r>
          <a:endParaRPr lang="en-US"/>
        </a:p>
        <a:p>
          <a:r>
            <a:rPr lang="en-US"/>
            <a:t>New capacity: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12</a:t>
          </a:r>
          <a:endParaRPr lang="en-US"/>
        </a:p>
        <a:p>
          <a:r>
            <a:rPr lang="en-US"/>
            <a:t>Move to row 1, Col 12</a:t>
          </a:r>
        </a:p>
      </xdr:txBody>
    </xdr:sp>
    <xdr:clientData/>
  </xdr:twoCellAnchor>
  <xdr:twoCellAnchor>
    <xdr:from>
      <xdr:col>17</xdr:col>
      <xdr:colOff>397820</xdr:colOff>
      <xdr:row>3</xdr:row>
      <xdr:rowOff>0</xdr:rowOff>
    </xdr:from>
    <xdr:to>
      <xdr:col>18</xdr:col>
      <xdr:colOff>283521</xdr:colOff>
      <xdr:row>5</xdr:row>
      <xdr:rowOff>15240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5DBFF17F-0139-4CAE-BA7B-3853A07412BF}"/>
            </a:ext>
          </a:extLst>
        </xdr:cNvPr>
        <xdr:cNvSpPr/>
      </xdr:nvSpPr>
      <xdr:spPr>
        <a:xfrm>
          <a:off x="10788729" y="545523"/>
          <a:ext cx="491837" cy="378922"/>
        </a:xfrm>
        <a:custGeom>
          <a:avLst/>
          <a:gdLst>
            <a:gd name="csX0" fmla="*/ 0 w 491837"/>
            <a:gd name="csY0" fmla="*/ 189461 h 378922"/>
            <a:gd name="csX1" fmla="*/ 245919 w 491837"/>
            <a:gd name="csY1" fmla="*/ 0 h 378922"/>
            <a:gd name="csX2" fmla="*/ 491838 w 491837"/>
            <a:gd name="csY2" fmla="*/ 189461 h 378922"/>
            <a:gd name="csX3" fmla="*/ 245919 w 491837"/>
            <a:gd name="csY3" fmla="*/ 378922 h 378922"/>
            <a:gd name="csX4" fmla="*/ 0 w 491837"/>
            <a:gd name="csY4" fmla="*/ 189461 h 37892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91837" h="378922" extrusionOk="0">
              <a:moveTo>
                <a:pt x="0" y="189461"/>
              </a:moveTo>
              <a:cubicBezTo>
                <a:pt x="1260" y="75346"/>
                <a:pt x="133824" y="19109"/>
                <a:pt x="245919" y="0"/>
              </a:cubicBezTo>
              <a:cubicBezTo>
                <a:pt x="367452" y="-5401"/>
                <a:pt x="496954" y="66887"/>
                <a:pt x="491838" y="189461"/>
              </a:cubicBezTo>
              <a:cubicBezTo>
                <a:pt x="508512" y="283076"/>
                <a:pt x="376660" y="391856"/>
                <a:pt x="245919" y="378922"/>
              </a:cubicBezTo>
              <a:cubicBezTo>
                <a:pt x="107452" y="387625"/>
                <a:pt x="1803" y="292511"/>
                <a:pt x="0" y="189461"/>
              </a:cubicBezTo>
              <a:close/>
            </a:path>
          </a:pathLst>
        </a:cu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  <a:extLst>
            <a:ext uri="{C807C97D-BFC1-408E-A445-0C87EB9F89A2}">
              <ask:lineSketchStyleProps xmlns:ask="http://schemas.microsoft.com/office/drawing/2018/sketchyshapes" sd="4266498984">
                <a:prstGeom prst="ellipse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232064</xdr:colOff>
      <xdr:row>4</xdr:row>
      <xdr:rowOff>7620</xdr:rowOff>
    </xdr:from>
    <xdr:to>
      <xdr:col>18</xdr:col>
      <xdr:colOff>283521</xdr:colOff>
      <xdr:row>15</xdr:row>
      <xdr:rowOff>93853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DB7B0FF0-94FE-421E-8930-662E4B889AF3}"/>
            </a:ext>
          </a:extLst>
        </xdr:cNvPr>
        <xdr:cNvCxnSpPr>
          <a:stCxn id="21" idx="6"/>
          <a:endCxn id="23" idx="0"/>
        </xdr:cNvCxnSpPr>
      </xdr:nvCxnSpPr>
      <xdr:spPr>
        <a:xfrm flipH="1">
          <a:off x="8804564" y="734984"/>
          <a:ext cx="2476002" cy="20864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43295</xdr:colOff>
      <xdr:row>15</xdr:row>
      <xdr:rowOff>93853</xdr:rowOff>
    </xdr:from>
    <xdr:to>
      <xdr:col>17</xdr:col>
      <xdr:colOff>420832</xdr:colOff>
      <xdr:row>19</xdr:row>
      <xdr:rowOff>109094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056F31C-878F-4661-A565-1F5F16FC550D}"/>
            </a:ext>
          </a:extLst>
        </xdr:cNvPr>
        <xdr:cNvSpPr txBox="1"/>
      </xdr:nvSpPr>
      <xdr:spPr>
        <a:xfrm>
          <a:off x="6797386" y="2821467"/>
          <a:ext cx="4014355" cy="7426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Record: </a:t>
          </a:r>
          <a:r>
            <a:rPr lang="en-US" b="1"/>
            <a:t>P1 is  selected</a:t>
          </a:r>
          <a:r>
            <a:rPr lang="en-US" b="1" baseline="0"/>
            <a:t> </a:t>
          </a:r>
          <a:r>
            <a:rPr lang="en-US" b="1"/>
            <a:t>(being diffrent)</a:t>
          </a:r>
          <a:endParaRPr lang="en-US"/>
        </a:p>
        <a:p>
          <a:r>
            <a:rPr lang="en-US"/>
            <a:t>New capacity: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12 -12 = 0 (Total Capacity utilization) </a:t>
          </a:r>
          <a:endParaRPr lang="en-US"/>
        </a:p>
        <a:p>
          <a:r>
            <a:rPr lang="en-US"/>
            <a:t>Move to row 1, Col 12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selection activeCell="C17" sqref="C17"/>
    </sheetView>
  </sheetViews>
  <sheetFormatPr defaultRowHeight="14.4" x14ac:dyDescent="0.3"/>
  <cols>
    <col min="1" max="1" width="63" customWidth="1"/>
    <col min="2" max="2" width="14" customWidth="1"/>
    <col min="3" max="3" width="12" customWidth="1"/>
    <col min="4" max="4" width="15" customWidth="1"/>
    <col min="5" max="5" width="12" customWidth="1"/>
    <col min="6" max="6" width="15" customWidth="1"/>
  </cols>
  <sheetData>
    <row r="1" spans="1:6" ht="18" x14ac:dyDescent="0.35">
      <c r="A1" s="22" t="s">
        <v>0</v>
      </c>
      <c r="B1" s="23"/>
      <c r="C1" s="23"/>
      <c r="D1" s="23"/>
      <c r="E1" s="23"/>
      <c r="F1" s="23"/>
    </row>
    <row r="3" spans="1:6" x14ac:dyDescent="0.3">
      <c r="A3" s="1" t="s">
        <v>1</v>
      </c>
      <c r="B3" s="1" t="s">
        <v>2</v>
      </c>
      <c r="C3" s="1" t="s">
        <v>3</v>
      </c>
      <c r="D3" s="20" t="s">
        <v>4</v>
      </c>
      <c r="E3" s="1" t="s">
        <v>5</v>
      </c>
      <c r="F3" s="1" t="s">
        <v>6</v>
      </c>
    </row>
    <row r="4" spans="1:6" x14ac:dyDescent="0.3">
      <c r="A4" t="s">
        <v>7</v>
      </c>
      <c r="B4">
        <v>12</v>
      </c>
      <c r="C4">
        <v>60</v>
      </c>
      <c r="D4" s="21">
        <v>1</v>
      </c>
      <c r="E4">
        <f t="shared" ref="E4:E11" si="0">B4*D4</f>
        <v>12</v>
      </c>
      <c r="F4">
        <f t="shared" ref="F4:F11" si="1">C4*D4</f>
        <v>60</v>
      </c>
    </row>
    <row r="5" spans="1:6" x14ac:dyDescent="0.3">
      <c r="A5" t="s">
        <v>8</v>
      </c>
      <c r="B5">
        <v>20</v>
      </c>
      <c r="C5">
        <v>100</v>
      </c>
      <c r="D5" s="21">
        <v>0</v>
      </c>
      <c r="E5">
        <f t="shared" si="0"/>
        <v>0</v>
      </c>
      <c r="F5">
        <f t="shared" si="1"/>
        <v>0</v>
      </c>
    </row>
    <row r="6" spans="1:6" x14ac:dyDescent="0.3">
      <c r="A6" t="s">
        <v>9</v>
      </c>
      <c r="B6">
        <v>15</v>
      </c>
      <c r="C6">
        <v>75</v>
      </c>
      <c r="D6" s="21">
        <v>0</v>
      </c>
      <c r="E6">
        <f t="shared" si="0"/>
        <v>0</v>
      </c>
      <c r="F6">
        <f t="shared" si="1"/>
        <v>0</v>
      </c>
    </row>
    <row r="7" spans="1:6" x14ac:dyDescent="0.3">
      <c r="A7" t="s">
        <v>10</v>
      </c>
      <c r="B7">
        <v>10</v>
      </c>
      <c r="C7">
        <v>45</v>
      </c>
      <c r="D7" s="21">
        <v>1</v>
      </c>
      <c r="E7">
        <f t="shared" si="0"/>
        <v>10</v>
      </c>
      <c r="F7">
        <f t="shared" si="1"/>
        <v>45</v>
      </c>
    </row>
    <row r="8" spans="1:6" x14ac:dyDescent="0.3">
      <c r="A8" t="s">
        <v>11</v>
      </c>
      <c r="B8">
        <v>18</v>
      </c>
      <c r="C8">
        <v>80</v>
      </c>
      <c r="D8" s="21">
        <v>1</v>
      </c>
      <c r="E8">
        <f t="shared" si="0"/>
        <v>18</v>
      </c>
      <c r="F8">
        <f t="shared" si="1"/>
        <v>80</v>
      </c>
    </row>
    <row r="9" spans="1:6" x14ac:dyDescent="0.3">
      <c r="A9" t="s">
        <v>12</v>
      </c>
      <c r="B9">
        <v>25</v>
      </c>
      <c r="C9">
        <v>110</v>
      </c>
      <c r="D9" s="21">
        <v>0</v>
      </c>
      <c r="E9">
        <f t="shared" si="0"/>
        <v>0</v>
      </c>
      <c r="F9">
        <f t="shared" si="1"/>
        <v>0</v>
      </c>
    </row>
    <row r="10" spans="1:6" x14ac:dyDescent="0.3">
      <c r="A10" t="s">
        <v>13</v>
      </c>
      <c r="B10">
        <v>9</v>
      </c>
      <c r="C10">
        <v>40</v>
      </c>
      <c r="D10" s="21">
        <v>0</v>
      </c>
      <c r="E10">
        <f t="shared" si="0"/>
        <v>0</v>
      </c>
      <c r="F10">
        <f t="shared" si="1"/>
        <v>0</v>
      </c>
    </row>
    <row r="11" spans="1:6" x14ac:dyDescent="0.3">
      <c r="A11" t="s">
        <v>14</v>
      </c>
      <c r="B11">
        <v>30</v>
      </c>
      <c r="C11">
        <v>150</v>
      </c>
      <c r="D11" s="21">
        <v>1</v>
      </c>
      <c r="E11">
        <f t="shared" si="0"/>
        <v>30</v>
      </c>
      <c r="F11">
        <f t="shared" si="1"/>
        <v>150</v>
      </c>
    </row>
    <row r="13" spans="1:6" x14ac:dyDescent="0.3">
      <c r="A13" s="2" t="s">
        <v>15</v>
      </c>
      <c r="B13">
        <f>SUM(E4:E11)</f>
        <v>70</v>
      </c>
    </row>
    <row r="14" spans="1:6" x14ac:dyDescent="0.3">
      <c r="A14" s="2" t="s">
        <v>16</v>
      </c>
      <c r="B14">
        <f>SUM(F4:F11)</f>
        <v>335</v>
      </c>
    </row>
    <row r="15" spans="1:6" x14ac:dyDescent="0.3">
      <c r="A15" s="2" t="s">
        <v>17</v>
      </c>
      <c r="B15">
        <v>70</v>
      </c>
    </row>
    <row r="17" spans="1:1" x14ac:dyDescent="0.3">
      <c r="A17" s="2" t="s">
        <v>18</v>
      </c>
    </row>
    <row r="18" spans="1:1" x14ac:dyDescent="0.3">
      <c r="A18" t="s">
        <v>19</v>
      </c>
    </row>
    <row r="19" spans="1:1" x14ac:dyDescent="0.3">
      <c r="A19" t="s">
        <v>20</v>
      </c>
    </row>
    <row r="20" spans="1:1" x14ac:dyDescent="0.3">
      <c r="A20" t="s">
        <v>21</v>
      </c>
    </row>
    <row r="21" spans="1:1" x14ac:dyDescent="0.3">
      <c r="A21" t="s">
        <v>22</v>
      </c>
    </row>
    <row r="22" spans="1:1" x14ac:dyDescent="0.3">
      <c r="A22" t="s">
        <v>23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BFB9-CA7C-41EE-890C-29167B66C0CC}">
  <dimension ref="A3:CA27"/>
  <sheetViews>
    <sheetView showGridLines="0" tabSelected="1" zoomScale="88" workbookViewId="0">
      <selection activeCell="Y31" sqref="Y31"/>
    </sheetView>
  </sheetViews>
  <sheetFormatPr defaultRowHeight="14.4" x14ac:dyDescent="0.3"/>
  <cols>
    <col min="1" max="1" width="11.5546875" bestFit="1" customWidth="1"/>
    <col min="2" max="2" width="14.109375" bestFit="1" customWidth="1"/>
    <col min="3" max="3" width="15" bestFit="1" customWidth="1"/>
    <col min="5" max="5" width="12.21875" bestFit="1" customWidth="1"/>
  </cols>
  <sheetData>
    <row r="3" spans="1:79" x14ac:dyDescent="0.3">
      <c r="F3" s="4">
        <v>0</v>
      </c>
      <c r="G3" s="4">
        <v>1</v>
      </c>
      <c r="H3" s="4">
        <v>2</v>
      </c>
      <c r="I3" s="4">
        <v>3</v>
      </c>
      <c r="J3" s="4">
        <v>4</v>
      </c>
      <c r="K3" s="4">
        <v>5</v>
      </c>
      <c r="L3" s="4">
        <v>6</v>
      </c>
      <c r="M3" s="4">
        <v>7</v>
      </c>
      <c r="N3" s="4">
        <v>8</v>
      </c>
      <c r="O3" s="4">
        <v>9</v>
      </c>
      <c r="P3" s="4">
        <v>10</v>
      </c>
      <c r="Q3" s="4">
        <v>11</v>
      </c>
      <c r="R3" s="4">
        <v>12</v>
      </c>
      <c r="S3" s="4">
        <v>13</v>
      </c>
      <c r="T3" s="4">
        <v>14</v>
      </c>
      <c r="U3" s="4">
        <v>15</v>
      </c>
      <c r="V3" s="4">
        <v>16</v>
      </c>
      <c r="W3" s="4">
        <v>17</v>
      </c>
      <c r="X3" s="4">
        <v>18</v>
      </c>
      <c r="Y3" s="4">
        <v>19</v>
      </c>
      <c r="Z3" s="4">
        <v>20</v>
      </c>
      <c r="AA3" s="4">
        <v>21</v>
      </c>
      <c r="AB3" s="4">
        <v>22</v>
      </c>
      <c r="AC3" s="4">
        <v>23</v>
      </c>
      <c r="AD3" s="4">
        <v>24</v>
      </c>
      <c r="AE3" s="4">
        <v>25</v>
      </c>
      <c r="AF3" s="4">
        <v>26</v>
      </c>
      <c r="AG3" s="4">
        <v>27</v>
      </c>
      <c r="AH3" s="4">
        <v>28</v>
      </c>
      <c r="AI3" s="4">
        <v>29</v>
      </c>
      <c r="AJ3" s="4">
        <v>30</v>
      </c>
      <c r="AK3" s="4">
        <v>31</v>
      </c>
      <c r="AL3" s="4">
        <v>32</v>
      </c>
      <c r="AM3" s="4">
        <v>33</v>
      </c>
      <c r="AN3" s="4">
        <v>34</v>
      </c>
      <c r="AO3" s="4">
        <v>35</v>
      </c>
      <c r="AP3" s="4">
        <v>36</v>
      </c>
      <c r="AQ3" s="4">
        <v>37</v>
      </c>
      <c r="AR3" s="4">
        <v>38</v>
      </c>
      <c r="AS3" s="4">
        <v>39</v>
      </c>
      <c r="AT3" s="4">
        <v>40</v>
      </c>
      <c r="AU3" s="4">
        <v>41</v>
      </c>
      <c r="AV3" s="4">
        <v>42</v>
      </c>
      <c r="AW3" s="4">
        <v>43</v>
      </c>
      <c r="AX3" s="4">
        <v>44</v>
      </c>
      <c r="AY3" s="4">
        <v>45</v>
      </c>
      <c r="AZ3" s="4">
        <v>46</v>
      </c>
      <c r="BA3" s="4">
        <v>47</v>
      </c>
      <c r="BB3" s="4">
        <v>48</v>
      </c>
      <c r="BC3" s="4">
        <v>49</v>
      </c>
      <c r="BD3" s="4">
        <v>50</v>
      </c>
      <c r="BE3" s="4">
        <v>51</v>
      </c>
      <c r="BF3" s="4">
        <v>52</v>
      </c>
      <c r="BG3" s="4">
        <v>53</v>
      </c>
      <c r="BH3" s="4">
        <v>54</v>
      </c>
      <c r="BI3" s="4">
        <v>55</v>
      </c>
      <c r="BJ3" s="4">
        <v>56</v>
      </c>
      <c r="BK3" s="4">
        <v>57</v>
      </c>
      <c r="BL3" s="4">
        <v>58</v>
      </c>
      <c r="BM3" s="4">
        <v>59</v>
      </c>
      <c r="BN3" s="4">
        <v>60</v>
      </c>
      <c r="BO3" s="4">
        <v>61</v>
      </c>
      <c r="BP3" s="4">
        <v>62</v>
      </c>
      <c r="BQ3" s="4">
        <v>63</v>
      </c>
      <c r="BR3" s="4">
        <v>64</v>
      </c>
      <c r="BS3" s="4">
        <v>65</v>
      </c>
      <c r="BT3" s="4">
        <v>66</v>
      </c>
      <c r="BU3" s="4">
        <v>67</v>
      </c>
      <c r="BV3" s="4">
        <v>68</v>
      </c>
      <c r="BW3" s="4">
        <v>69</v>
      </c>
      <c r="BX3" s="4">
        <v>70</v>
      </c>
    </row>
    <row r="4" spans="1:79" x14ac:dyDescent="0.3">
      <c r="A4" s="1" t="s">
        <v>1</v>
      </c>
      <c r="B4" s="1" t="s">
        <v>2</v>
      </c>
      <c r="C4" s="1" t="s">
        <v>3</v>
      </c>
      <c r="D4" s="1" t="s">
        <v>34</v>
      </c>
      <c r="E4" t="s">
        <v>25</v>
      </c>
      <c r="F4" s="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</row>
    <row r="5" spans="1:79" x14ac:dyDescent="0.3">
      <c r="A5" t="s">
        <v>7</v>
      </c>
      <c r="B5" s="8">
        <v>12</v>
      </c>
      <c r="C5" s="8">
        <v>60</v>
      </c>
      <c r="D5" s="8">
        <v>1</v>
      </c>
      <c r="E5" t="s">
        <v>26</v>
      </c>
      <c r="F5" s="4">
        <v>0</v>
      </c>
      <c r="G5">
        <f ca="1">IF($B5&gt;G$3,
    G4,
    MAX(
        G4,
        OFFSET(G4,0,-$B5) + $C5
    )
)</f>
        <v>0</v>
      </c>
      <c r="H5">
        <f t="shared" ref="H5:BS8" ca="1" si="0">IF($B5&gt;H$3,
    H4,
    MAX(
        H4,
        OFFSET(H4,0,-$B5) + $C5
    )
)</f>
        <v>0</v>
      </c>
      <c r="I5">
        <f t="shared" ca="1" si="0"/>
        <v>0</v>
      </c>
      <c r="J5">
        <f t="shared" ca="1" si="0"/>
        <v>0</v>
      </c>
      <c r="K5">
        <f t="shared" ca="1" si="0"/>
        <v>0</v>
      </c>
      <c r="L5">
        <f t="shared" ca="1" si="0"/>
        <v>0</v>
      </c>
      <c r="M5">
        <f t="shared" ca="1" si="0"/>
        <v>0</v>
      </c>
      <c r="N5">
        <f t="shared" ca="1" si="0"/>
        <v>0</v>
      </c>
      <c r="O5">
        <f t="shared" ca="1" si="0"/>
        <v>0</v>
      </c>
      <c r="P5">
        <f t="shared" ca="1" si="0"/>
        <v>0</v>
      </c>
      <c r="Q5">
        <f t="shared" ca="1" si="0"/>
        <v>0</v>
      </c>
      <c r="R5">
        <f t="shared" ca="1" si="0"/>
        <v>60</v>
      </c>
      <c r="S5">
        <f t="shared" ca="1" si="0"/>
        <v>60</v>
      </c>
      <c r="T5">
        <f t="shared" ca="1" si="0"/>
        <v>60</v>
      </c>
      <c r="U5">
        <f t="shared" ca="1" si="0"/>
        <v>60</v>
      </c>
      <c r="V5">
        <f t="shared" ca="1" si="0"/>
        <v>60</v>
      </c>
      <c r="W5">
        <f t="shared" ca="1" si="0"/>
        <v>60</v>
      </c>
      <c r="X5">
        <f t="shared" ca="1" si="0"/>
        <v>60</v>
      </c>
      <c r="Y5">
        <f t="shared" ca="1" si="0"/>
        <v>60</v>
      </c>
      <c r="Z5">
        <f t="shared" ca="1" si="0"/>
        <v>60</v>
      </c>
      <c r="AA5">
        <f t="shared" ca="1" si="0"/>
        <v>60</v>
      </c>
      <c r="AB5">
        <f t="shared" ca="1" si="0"/>
        <v>60</v>
      </c>
      <c r="AC5">
        <f t="shared" ca="1" si="0"/>
        <v>60</v>
      </c>
      <c r="AD5">
        <f t="shared" ca="1" si="0"/>
        <v>60</v>
      </c>
      <c r="AE5">
        <f t="shared" ca="1" si="0"/>
        <v>60</v>
      </c>
      <c r="AF5">
        <f t="shared" ca="1" si="0"/>
        <v>60</v>
      </c>
      <c r="AG5">
        <f t="shared" ca="1" si="0"/>
        <v>60</v>
      </c>
      <c r="AH5">
        <f t="shared" ca="1" si="0"/>
        <v>60</v>
      </c>
      <c r="AI5">
        <f t="shared" ca="1" si="0"/>
        <v>60</v>
      </c>
      <c r="AJ5">
        <f t="shared" ca="1" si="0"/>
        <v>60</v>
      </c>
      <c r="AK5">
        <f t="shared" ca="1" si="0"/>
        <v>60</v>
      </c>
      <c r="AL5">
        <f t="shared" ca="1" si="0"/>
        <v>60</v>
      </c>
      <c r="AM5">
        <f t="shared" ca="1" si="0"/>
        <v>60</v>
      </c>
      <c r="AN5">
        <f t="shared" ca="1" si="0"/>
        <v>60</v>
      </c>
      <c r="AO5">
        <f t="shared" ca="1" si="0"/>
        <v>60</v>
      </c>
      <c r="AP5">
        <f t="shared" ca="1" si="0"/>
        <v>60</v>
      </c>
      <c r="AQ5">
        <f t="shared" ca="1" si="0"/>
        <v>60</v>
      </c>
      <c r="AR5">
        <f t="shared" ca="1" si="0"/>
        <v>60</v>
      </c>
      <c r="AS5">
        <f t="shared" ca="1" si="0"/>
        <v>60</v>
      </c>
      <c r="AT5">
        <f t="shared" ca="1" si="0"/>
        <v>60</v>
      </c>
      <c r="AU5">
        <f t="shared" ca="1" si="0"/>
        <v>60</v>
      </c>
      <c r="AV5">
        <f t="shared" ca="1" si="0"/>
        <v>60</v>
      </c>
      <c r="AW5">
        <f t="shared" ca="1" si="0"/>
        <v>60</v>
      </c>
      <c r="AX5">
        <f t="shared" ca="1" si="0"/>
        <v>60</v>
      </c>
      <c r="AY5">
        <f t="shared" ca="1" si="0"/>
        <v>60</v>
      </c>
      <c r="AZ5">
        <f t="shared" ca="1" si="0"/>
        <v>60</v>
      </c>
      <c r="BA5">
        <f t="shared" ca="1" si="0"/>
        <v>60</v>
      </c>
      <c r="BB5">
        <f t="shared" ca="1" si="0"/>
        <v>60</v>
      </c>
      <c r="BC5">
        <f t="shared" ca="1" si="0"/>
        <v>60</v>
      </c>
      <c r="BD5">
        <f t="shared" ca="1" si="0"/>
        <v>60</v>
      </c>
      <c r="BE5">
        <f t="shared" ca="1" si="0"/>
        <v>60</v>
      </c>
      <c r="BF5">
        <f t="shared" ca="1" si="0"/>
        <v>60</v>
      </c>
      <c r="BG5">
        <f t="shared" ca="1" si="0"/>
        <v>60</v>
      </c>
      <c r="BH5">
        <f t="shared" ca="1" si="0"/>
        <v>60</v>
      </c>
      <c r="BI5">
        <f t="shared" ca="1" si="0"/>
        <v>60</v>
      </c>
      <c r="BJ5">
        <f t="shared" ca="1" si="0"/>
        <v>60</v>
      </c>
      <c r="BK5">
        <f t="shared" ca="1" si="0"/>
        <v>60</v>
      </c>
      <c r="BL5">
        <f t="shared" ca="1" si="0"/>
        <v>60</v>
      </c>
      <c r="BM5">
        <f t="shared" ca="1" si="0"/>
        <v>60</v>
      </c>
      <c r="BN5">
        <f t="shared" ca="1" si="0"/>
        <v>60</v>
      </c>
      <c r="BO5">
        <f t="shared" ca="1" si="0"/>
        <v>60</v>
      </c>
      <c r="BP5">
        <f t="shared" ca="1" si="0"/>
        <v>60</v>
      </c>
      <c r="BQ5">
        <f t="shared" ca="1" si="0"/>
        <v>60</v>
      </c>
      <c r="BR5">
        <f t="shared" ca="1" si="0"/>
        <v>60</v>
      </c>
      <c r="BS5">
        <f t="shared" ca="1" si="0"/>
        <v>60</v>
      </c>
      <c r="BT5">
        <f t="shared" ref="BT5:BX12" ca="1" si="1">IF($B5&gt;BT$3,
    BT4,
    MAX(
        BT4,
        OFFSET(BT4,0,-$B5) + $C5
    )
)</f>
        <v>60</v>
      </c>
      <c r="BU5">
        <f t="shared" ca="1" si="1"/>
        <v>60</v>
      </c>
      <c r="BV5">
        <f t="shared" ca="1" si="1"/>
        <v>60</v>
      </c>
      <c r="BW5">
        <f t="shared" ca="1" si="1"/>
        <v>60</v>
      </c>
      <c r="BX5">
        <f t="shared" ca="1" si="1"/>
        <v>60</v>
      </c>
    </row>
    <row r="6" spans="1:79" x14ac:dyDescent="0.3">
      <c r="A6" t="s">
        <v>8</v>
      </c>
      <c r="B6">
        <v>20</v>
      </c>
      <c r="C6">
        <v>100</v>
      </c>
      <c r="D6">
        <v>0</v>
      </c>
      <c r="E6" t="s">
        <v>27</v>
      </c>
      <c r="F6" s="4">
        <v>0</v>
      </c>
      <c r="G6">
        <f t="shared" ref="G6:G12" ca="1" si="2">IF($B6&gt;G$3,
    G5,
    MAX(
        G5,
        OFFSET(G5,0,-$B6) + $C6
    )
)</f>
        <v>0</v>
      </c>
      <c r="H6">
        <f t="shared" ca="1" si="0"/>
        <v>0</v>
      </c>
      <c r="I6">
        <f t="shared" ca="1" si="0"/>
        <v>0</v>
      </c>
      <c r="J6">
        <f t="shared" ca="1" si="0"/>
        <v>0</v>
      </c>
      <c r="K6">
        <f t="shared" ca="1" si="0"/>
        <v>0</v>
      </c>
      <c r="L6">
        <f t="shared" ca="1" si="0"/>
        <v>0</v>
      </c>
      <c r="M6">
        <f t="shared" ca="1" si="0"/>
        <v>0</v>
      </c>
      <c r="N6">
        <f t="shared" ca="1" si="0"/>
        <v>0</v>
      </c>
      <c r="O6">
        <f t="shared" ca="1" si="0"/>
        <v>0</v>
      </c>
      <c r="P6">
        <f t="shared" ca="1" si="0"/>
        <v>0</v>
      </c>
      <c r="Q6">
        <f t="shared" ca="1" si="0"/>
        <v>0</v>
      </c>
      <c r="R6">
        <f t="shared" ca="1" si="0"/>
        <v>60</v>
      </c>
      <c r="S6">
        <f t="shared" ca="1" si="0"/>
        <v>60</v>
      </c>
      <c r="T6">
        <f t="shared" ca="1" si="0"/>
        <v>60</v>
      </c>
      <c r="U6">
        <f t="shared" ca="1" si="0"/>
        <v>60</v>
      </c>
      <c r="V6">
        <f t="shared" ca="1" si="0"/>
        <v>60</v>
      </c>
      <c r="W6">
        <f t="shared" ca="1" si="0"/>
        <v>60</v>
      </c>
      <c r="X6">
        <f t="shared" ca="1" si="0"/>
        <v>60</v>
      </c>
      <c r="Y6">
        <f t="shared" ca="1" si="0"/>
        <v>60</v>
      </c>
      <c r="Z6">
        <f t="shared" ca="1" si="0"/>
        <v>100</v>
      </c>
      <c r="AA6">
        <f t="shared" ca="1" si="0"/>
        <v>100</v>
      </c>
      <c r="AB6">
        <f t="shared" ca="1" si="0"/>
        <v>100</v>
      </c>
      <c r="AC6">
        <f t="shared" ca="1" si="0"/>
        <v>100</v>
      </c>
      <c r="AD6">
        <f t="shared" ca="1" si="0"/>
        <v>100</v>
      </c>
      <c r="AE6">
        <f t="shared" ca="1" si="0"/>
        <v>100</v>
      </c>
      <c r="AF6">
        <f t="shared" ca="1" si="0"/>
        <v>100</v>
      </c>
      <c r="AG6">
        <f t="shared" ca="1" si="0"/>
        <v>100</v>
      </c>
      <c r="AH6">
        <f t="shared" ca="1" si="0"/>
        <v>100</v>
      </c>
      <c r="AI6">
        <f t="shared" ca="1" si="0"/>
        <v>100</v>
      </c>
      <c r="AJ6">
        <f t="shared" ca="1" si="0"/>
        <v>100</v>
      </c>
      <c r="AK6">
        <f t="shared" ca="1" si="0"/>
        <v>100</v>
      </c>
      <c r="AL6">
        <f t="shared" ca="1" si="0"/>
        <v>160</v>
      </c>
      <c r="AM6">
        <f t="shared" ca="1" si="0"/>
        <v>160</v>
      </c>
      <c r="AN6">
        <f t="shared" ca="1" si="0"/>
        <v>160</v>
      </c>
      <c r="AO6">
        <f t="shared" ca="1" si="0"/>
        <v>160</v>
      </c>
      <c r="AP6">
        <f t="shared" ca="1" si="0"/>
        <v>160</v>
      </c>
      <c r="AQ6">
        <f t="shared" ca="1" si="0"/>
        <v>160</v>
      </c>
      <c r="AR6">
        <f t="shared" ca="1" si="0"/>
        <v>160</v>
      </c>
      <c r="AS6">
        <f t="shared" ca="1" si="0"/>
        <v>160</v>
      </c>
      <c r="AT6">
        <f t="shared" ca="1" si="0"/>
        <v>160</v>
      </c>
      <c r="AU6">
        <f t="shared" ca="1" si="0"/>
        <v>160</v>
      </c>
      <c r="AV6">
        <f t="shared" ca="1" si="0"/>
        <v>160</v>
      </c>
      <c r="AW6">
        <f t="shared" ca="1" si="0"/>
        <v>160</v>
      </c>
      <c r="AX6">
        <f t="shared" ca="1" si="0"/>
        <v>160</v>
      </c>
      <c r="AY6">
        <f t="shared" ca="1" si="0"/>
        <v>160</v>
      </c>
      <c r="AZ6">
        <f t="shared" ca="1" si="0"/>
        <v>160</v>
      </c>
      <c r="BA6">
        <f t="shared" ca="1" si="0"/>
        <v>160</v>
      </c>
      <c r="BB6">
        <f t="shared" ca="1" si="0"/>
        <v>160</v>
      </c>
      <c r="BC6">
        <f t="shared" ca="1" si="0"/>
        <v>160</v>
      </c>
      <c r="BD6">
        <f t="shared" ca="1" si="0"/>
        <v>160</v>
      </c>
      <c r="BE6">
        <f t="shared" ca="1" si="0"/>
        <v>160</v>
      </c>
      <c r="BF6">
        <f t="shared" ca="1" si="0"/>
        <v>160</v>
      </c>
      <c r="BG6">
        <f t="shared" ca="1" si="0"/>
        <v>160</v>
      </c>
      <c r="BH6">
        <f t="shared" ca="1" si="0"/>
        <v>160</v>
      </c>
      <c r="BI6">
        <f t="shared" ca="1" si="0"/>
        <v>160</v>
      </c>
      <c r="BJ6">
        <f t="shared" ca="1" si="0"/>
        <v>160</v>
      </c>
      <c r="BK6">
        <f t="shared" ca="1" si="0"/>
        <v>160</v>
      </c>
      <c r="BL6">
        <f t="shared" ca="1" si="0"/>
        <v>160</v>
      </c>
      <c r="BM6">
        <f t="shared" ca="1" si="0"/>
        <v>160</v>
      </c>
      <c r="BN6">
        <f t="shared" ca="1" si="0"/>
        <v>160</v>
      </c>
      <c r="BO6">
        <f t="shared" ca="1" si="0"/>
        <v>160</v>
      </c>
      <c r="BP6">
        <f t="shared" ca="1" si="0"/>
        <v>160</v>
      </c>
      <c r="BQ6">
        <f t="shared" ca="1" si="0"/>
        <v>160</v>
      </c>
      <c r="BR6">
        <f t="shared" ca="1" si="0"/>
        <v>160</v>
      </c>
      <c r="BS6">
        <f t="shared" ca="1" si="0"/>
        <v>160</v>
      </c>
      <c r="BT6">
        <f t="shared" ca="1" si="1"/>
        <v>160</v>
      </c>
      <c r="BU6">
        <f t="shared" ca="1" si="1"/>
        <v>160</v>
      </c>
      <c r="BV6">
        <f t="shared" ca="1" si="1"/>
        <v>160</v>
      </c>
      <c r="BW6">
        <f t="shared" ca="1" si="1"/>
        <v>160</v>
      </c>
      <c r="BX6">
        <f t="shared" ca="1" si="1"/>
        <v>160</v>
      </c>
    </row>
    <row r="7" spans="1:79" x14ac:dyDescent="0.3">
      <c r="A7" t="s">
        <v>9</v>
      </c>
      <c r="B7">
        <v>15</v>
      </c>
      <c r="C7">
        <v>75</v>
      </c>
      <c r="D7">
        <v>0</v>
      </c>
      <c r="E7" t="s">
        <v>28</v>
      </c>
      <c r="F7" s="4">
        <v>0</v>
      </c>
      <c r="G7">
        <f t="shared" ca="1" si="2"/>
        <v>0</v>
      </c>
      <c r="H7">
        <f t="shared" ca="1" si="0"/>
        <v>0</v>
      </c>
      <c r="I7">
        <f t="shared" ca="1" si="0"/>
        <v>0</v>
      </c>
      <c r="J7">
        <f t="shared" ca="1" si="0"/>
        <v>0</v>
      </c>
      <c r="K7">
        <f t="shared" ca="1" si="0"/>
        <v>0</v>
      </c>
      <c r="L7">
        <f t="shared" ca="1" si="0"/>
        <v>0</v>
      </c>
      <c r="M7">
        <f t="shared" ca="1" si="0"/>
        <v>0</v>
      </c>
      <c r="N7">
        <f t="shared" ca="1" si="0"/>
        <v>0</v>
      </c>
      <c r="O7">
        <f t="shared" ca="1" si="0"/>
        <v>0</v>
      </c>
      <c r="P7">
        <f t="shared" ca="1" si="0"/>
        <v>0</v>
      </c>
      <c r="Q7">
        <f t="shared" ca="1" si="0"/>
        <v>0</v>
      </c>
      <c r="R7">
        <f t="shared" ca="1" si="0"/>
        <v>60</v>
      </c>
      <c r="S7">
        <f t="shared" ca="1" si="0"/>
        <v>60</v>
      </c>
      <c r="T7">
        <f t="shared" ca="1" si="0"/>
        <v>60</v>
      </c>
      <c r="U7">
        <f t="shared" ca="1" si="0"/>
        <v>75</v>
      </c>
      <c r="V7">
        <f t="shared" ca="1" si="0"/>
        <v>75</v>
      </c>
      <c r="W7">
        <f t="shared" ca="1" si="0"/>
        <v>75</v>
      </c>
      <c r="X7">
        <f t="shared" ca="1" si="0"/>
        <v>75</v>
      </c>
      <c r="Y7">
        <f t="shared" ca="1" si="0"/>
        <v>75</v>
      </c>
      <c r="Z7">
        <f t="shared" ca="1" si="0"/>
        <v>100</v>
      </c>
      <c r="AA7">
        <f t="shared" ca="1" si="0"/>
        <v>100</v>
      </c>
      <c r="AB7">
        <f t="shared" ca="1" si="0"/>
        <v>100</v>
      </c>
      <c r="AC7">
        <f t="shared" ca="1" si="0"/>
        <v>100</v>
      </c>
      <c r="AD7">
        <f t="shared" ca="1" si="0"/>
        <v>100</v>
      </c>
      <c r="AE7">
        <f t="shared" ca="1" si="0"/>
        <v>100</v>
      </c>
      <c r="AF7">
        <f t="shared" ca="1" si="0"/>
        <v>100</v>
      </c>
      <c r="AG7">
        <f t="shared" ca="1" si="0"/>
        <v>135</v>
      </c>
      <c r="AH7">
        <f t="shared" ca="1" si="0"/>
        <v>135</v>
      </c>
      <c r="AI7">
        <f t="shared" ca="1" si="0"/>
        <v>135</v>
      </c>
      <c r="AJ7">
        <f t="shared" ca="1" si="0"/>
        <v>135</v>
      </c>
      <c r="AK7">
        <f t="shared" ca="1" si="0"/>
        <v>135</v>
      </c>
      <c r="AL7">
        <f t="shared" ca="1" si="0"/>
        <v>160</v>
      </c>
      <c r="AM7">
        <f t="shared" ca="1" si="0"/>
        <v>160</v>
      </c>
      <c r="AN7">
        <f t="shared" ca="1" si="0"/>
        <v>160</v>
      </c>
      <c r="AO7">
        <f t="shared" ca="1" si="0"/>
        <v>175</v>
      </c>
      <c r="AP7">
        <f t="shared" ca="1" si="0"/>
        <v>175</v>
      </c>
      <c r="AQ7">
        <f t="shared" ca="1" si="0"/>
        <v>175</v>
      </c>
      <c r="AR7">
        <f t="shared" ca="1" si="0"/>
        <v>175</v>
      </c>
      <c r="AS7">
        <f t="shared" ca="1" si="0"/>
        <v>175</v>
      </c>
      <c r="AT7">
        <f t="shared" ca="1" si="0"/>
        <v>175</v>
      </c>
      <c r="AU7">
        <f t="shared" ca="1" si="0"/>
        <v>175</v>
      </c>
      <c r="AV7">
        <f t="shared" ca="1" si="0"/>
        <v>175</v>
      </c>
      <c r="AW7">
        <f t="shared" ca="1" si="0"/>
        <v>175</v>
      </c>
      <c r="AX7">
        <f t="shared" ca="1" si="0"/>
        <v>175</v>
      </c>
      <c r="AY7">
        <f t="shared" ca="1" si="0"/>
        <v>175</v>
      </c>
      <c r="AZ7">
        <f t="shared" ca="1" si="0"/>
        <v>175</v>
      </c>
      <c r="BA7">
        <f t="shared" ca="1" si="0"/>
        <v>235</v>
      </c>
      <c r="BB7">
        <f t="shared" ca="1" si="0"/>
        <v>235</v>
      </c>
      <c r="BC7">
        <f t="shared" ca="1" si="0"/>
        <v>235</v>
      </c>
      <c r="BD7">
        <f t="shared" ca="1" si="0"/>
        <v>235</v>
      </c>
      <c r="BE7">
        <f t="shared" ca="1" si="0"/>
        <v>235</v>
      </c>
      <c r="BF7">
        <f t="shared" ca="1" si="0"/>
        <v>235</v>
      </c>
      <c r="BG7">
        <f t="shared" ca="1" si="0"/>
        <v>235</v>
      </c>
      <c r="BH7">
        <f t="shared" ca="1" si="0"/>
        <v>235</v>
      </c>
      <c r="BI7">
        <f t="shared" ca="1" si="0"/>
        <v>235</v>
      </c>
      <c r="BJ7">
        <f t="shared" ca="1" si="0"/>
        <v>235</v>
      </c>
      <c r="BK7">
        <f t="shared" ca="1" si="0"/>
        <v>235</v>
      </c>
      <c r="BL7">
        <f t="shared" ca="1" si="0"/>
        <v>235</v>
      </c>
      <c r="BM7">
        <f t="shared" ca="1" si="0"/>
        <v>235</v>
      </c>
      <c r="BN7">
        <f t="shared" ca="1" si="0"/>
        <v>235</v>
      </c>
      <c r="BO7">
        <f t="shared" ca="1" si="0"/>
        <v>235</v>
      </c>
      <c r="BP7">
        <f t="shared" ca="1" si="0"/>
        <v>235</v>
      </c>
      <c r="BQ7">
        <f t="shared" ca="1" si="0"/>
        <v>235</v>
      </c>
      <c r="BR7">
        <f t="shared" ca="1" si="0"/>
        <v>235</v>
      </c>
      <c r="BS7">
        <f t="shared" ca="1" si="0"/>
        <v>235</v>
      </c>
      <c r="BT7">
        <f t="shared" ca="1" si="1"/>
        <v>235</v>
      </c>
      <c r="BU7">
        <f t="shared" ca="1" si="1"/>
        <v>235</v>
      </c>
      <c r="BV7">
        <f t="shared" ca="1" si="1"/>
        <v>235</v>
      </c>
      <c r="BW7">
        <f t="shared" ca="1" si="1"/>
        <v>235</v>
      </c>
      <c r="BX7">
        <f t="shared" ca="1" si="1"/>
        <v>235</v>
      </c>
    </row>
    <row r="8" spans="1:79" x14ac:dyDescent="0.3">
      <c r="A8" t="s">
        <v>10</v>
      </c>
      <c r="B8" s="8">
        <v>10</v>
      </c>
      <c r="C8" s="8">
        <v>45</v>
      </c>
      <c r="D8" s="8">
        <v>1</v>
      </c>
      <c r="E8" t="s">
        <v>29</v>
      </c>
      <c r="F8" s="4">
        <v>0</v>
      </c>
      <c r="G8">
        <f t="shared" ca="1" si="2"/>
        <v>0</v>
      </c>
      <c r="H8">
        <f t="shared" ca="1" si="0"/>
        <v>0</v>
      </c>
      <c r="I8">
        <f t="shared" ca="1" si="0"/>
        <v>0</v>
      </c>
      <c r="J8">
        <f t="shared" ca="1" si="0"/>
        <v>0</v>
      </c>
      <c r="K8">
        <f t="shared" ca="1" si="0"/>
        <v>0</v>
      </c>
      <c r="L8">
        <f t="shared" ca="1" si="0"/>
        <v>0</v>
      </c>
      <c r="M8">
        <f t="shared" ca="1" si="0"/>
        <v>0</v>
      </c>
      <c r="N8">
        <f t="shared" ca="1" si="0"/>
        <v>0</v>
      </c>
      <c r="O8">
        <f t="shared" ca="1" si="0"/>
        <v>0</v>
      </c>
      <c r="P8">
        <f t="shared" ca="1" si="0"/>
        <v>45</v>
      </c>
      <c r="Q8">
        <f t="shared" ca="1" si="0"/>
        <v>45</v>
      </c>
      <c r="R8">
        <f t="shared" ca="1" si="0"/>
        <v>60</v>
      </c>
      <c r="S8">
        <f t="shared" ca="1" si="0"/>
        <v>60</v>
      </c>
      <c r="T8">
        <f t="shared" ca="1" si="0"/>
        <v>60</v>
      </c>
      <c r="U8">
        <f t="shared" ca="1" si="0"/>
        <v>75</v>
      </c>
      <c r="V8">
        <f t="shared" ca="1" si="0"/>
        <v>75</v>
      </c>
      <c r="W8">
        <f t="shared" ca="1" si="0"/>
        <v>75</v>
      </c>
      <c r="X8">
        <f t="shared" ca="1" si="0"/>
        <v>75</v>
      </c>
      <c r="Y8">
        <f t="shared" ca="1" si="0"/>
        <v>75</v>
      </c>
      <c r="Z8">
        <f t="shared" ca="1" si="0"/>
        <v>100</v>
      </c>
      <c r="AA8">
        <f t="shared" ca="1" si="0"/>
        <v>100</v>
      </c>
      <c r="AB8">
        <f t="shared" ca="1" si="0"/>
        <v>105</v>
      </c>
      <c r="AC8">
        <f t="shared" ca="1" si="0"/>
        <v>105</v>
      </c>
      <c r="AD8">
        <f t="shared" ca="1" si="0"/>
        <v>105</v>
      </c>
      <c r="AE8">
        <f t="shared" ca="1" si="0"/>
        <v>120</v>
      </c>
      <c r="AF8">
        <f t="shared" ca="1" si="0"/>
        <v>120</v>
      </c>
      <c r="AG8">
        <f t="shared" ca="1" si="0"/>
        <v>135</v>
      </c>
      <c r="AH8">
        <f t="shared" ca="1" si="0"/>
        <v>135</v>
      </c>
      <c r="AI8">
        <f t="shared" ca="1" si="0"/>
        <v>135</v>
      </c>
      <c r="AJ8">
        <f t="shared" ca="1" si="0"/>
        <v>145</v>
      </c>
      <c r="AK8">
        <f t="shared" ca="1" si="0"/>
        <v>145</v>
      </c>
      <c r="AL8">
        <f t="shared" ca="1" si="0"/>
        <v>160</v>
      </c>
      <c r="AM8">
        <f t="shared" ca="1" si="0"/>
        <v>160</v>
      </c>
      <c r="AN8">
        <f t="shared" ca="1" si="0"/>
        <v>160</v>
      </c>
      <c r="AO8">
        <f t="shared" ca="1" si="0"/>
        <v>175</v>
      </c>
      <c r="AP8">
        <f t="shared" ca="1" si="0"/>
        <v>175</v>
      </c>
      <c r="AQ8">
        <f t="shared" ca="1" si="0"/>
        <v>180</v>
      </c>
      <c r="AR8">
        <f t="shared" ca="1" si="0"/>
        <v>180</v>
      </c>
      <c r="AS8">
        <f t="shared" ca="1" si="0"/>
        <v>180</v>
      </c>
      <c r="AT8">
        <f t="shared" ca="1" si="0"/>
        <v>180</v>
      </c>
      <c r="AU8">
        <f t="shared" ca="1" si="0"/>
        <v>180</v>
      </c>
      <c r="AV8">
        <f t="shared" ca="1" si="0"/>
        <v>205</v>
      </c>
      <c r="AW8">
        <f t="shared" ca="1" si="0"/>
        <v>205</v>
      </c>
      <c r="AX8">
        <f t="shared" ca="1" si="0"/>
        <v>205</v>
      </c>
      <c r="AY8">
        <f t="shared" ca="1" si="0"/>
        <v>220</v>
      </c>
      <c r="AZ8">
        <f t="shared" ca="1" si="0"/>
        <v>220</v>
      </c>
      <c r="BA8">
        <f t="shared" ca="1" si="0"/>
        <v>235</v>
      </c>
      <c r="BB8">
        <f t="shared" ca="1" si="0"/>
        <v>235</v>
      </c>
      <c r="BC8">
        <f t="shared" ca="1" si="0"/>
        <v>235</v>
      </c>
      <c r="BD8">
        <f t="shared" ca="1" si="0"/>
        <v>235</v>
      </c>
      <c r="BE8">
        <f t="shared" ca="1" si="0"/>
        <v>235</v>
      </c>
      <c r="BF8">
        <f t="shared" ca="1" si="0"/>
        <v>235</v>
      </c>
      <c r="BG8">
        <f t="shared" ca="1" si="0"/>
        <v>235</v>
      </c>
      <c r="BH8">
        <f t="shared" ca="1" si="0"/>
        <v>235</v>
      </c>
      <c r="BI8">
        <f t="shared" ca="1" si="0"/>
        <v>235</v>
      </c>
      <c r="BJ8">
        <f t="shared" ca="1" si="0"/>
        <v>235</v>
      </c>
      <c r="BK8">
        <f t="shared" ca="1" si="0"/>
        <v>280</v>
      </c>
      <c r="BL8">
        <f t="shared" ca="1" si="0"/>
        <v>280</v>
      </c>
      <c r="BM8">
        <f t="shared" ca="1" si="0"/>
        <v>280</v>
      </c>
      <c r="BN8">
        <f t="shared" ca="1" si="0"/>
        <v>280</v>
      </c>
      <c r="BO8">
        <f t="shared" ca="1" si="0"/>
        <v>280</v>
      </c>
      <c r="BP8">
        <f t="shared" ca="1" si="0"/>
        <v>280</v>
      </c>
      <c r="BQ8">
        <f t="shared" ca="1" si="0"/>
        <v>280</v>
      </c>
      <c r="BR8">
        <f t="shared" ca="1" si="0"/>
        <v>280</v>
      </c>
      <c r="BS8">
        <f t="shared" ref="BS8:BS12" ca="1" si="3">IF($B8&gt;BS$3,
    BS7,
    MAX(
        BS7,
        OFFSET(BS7,0,-$B8) + $C8
    )
)</f>
        <v>280</v>
      </c>
      <c r="BT8">
        <f t="shared" ca="1" si="1"/>
        <v>280</v>
      </c>
      <c r="BU8">
        <f t="shared" ca="1" si="1"/>
        <v>280</v>
      </c>
      <c r="BV8">
        <f t="shared" ca="1" si="1"/>
        <v>280</v>
      </c>
      <c r="BW8">
        <f t="shared" ca="1" si="1"/>
        <v>280</v>
      </c>
      <c r="BX8">
        <f t="shared" ref="BX8:BX12" ca="1" si="4">IF($B8&gt;BX$3,
    BX7,
    MAX(
        BX7,
        OFFSET(BX7,0,-$B8) + $C8
    )
)</f>
        <v>280</v>
      </c>
    </row>
    <row r="9" spans="1:79" x14ac:dyDescent="0.3">
      <c r="A9" t="s">
        <v>11</v>
      </c>
      <c r="B9" s="8">
        <v>18</v>
      </c>
      <c r="C9" s="8">
        <v>80</v>
      </c>
      <c r="D9" s="8">
        <v>1</v>
      </c>
      <c r="E9" t="s">
        <v>30</v>
      </c>
      <c r="F9" s="4">
        <v>0</v>
      </c>
      <c r="G9">
        <f t="shared" ca="1" si="2"/>
        <v>0</v>
      </c>
      <c r="H9">
        <f t="shared" ref="H9:H12" ca="1" si="5">IF($B9&gt;H$3,
    H8,
    MAX(
        H8,
        OFFSET(H8,0,-$B9) + $C9
    )
)</f>
        <v>0</v>
      </c>
      <c r="I9">
        <f t="shared" ref="I9:I12" ca="1" si="6">IF($B9&gt;I$3,
    I8,
    MAX(
        I8,
        OFFSET(I8,0,-$B9) + $C9
    )
)</f>
        <v>0</v>
      </c>
      <c r="J9">
        <f t="shared" ref="J9:J12" ca="1" si="7">IF($B9&gt;J$3,
    J8,
    MAX(
        J8,
        OFFSET(J8,0,-$B9) + $C9
    )
)</f>
        <v>0</v>
      </c>
      <c r="K9">
        <f t="shared" ref="K9:K12" ca="1" si="8">IF($B9&gt;K$3,
    K8,
    MAX(
        K8,
        OFFSET(K8,0,-$B9) + $C9
    )
)</f>
        <v>0</v>
      </c>
      <c r="L9">
        <f t="shared" ref="L9:L12" ca="1" si="9">IF($B9&gt;L$3,
    L8,
    MAX(
        L8,
        OFFSET(L8,0,-$B9) + $C9
    )
)</f>
        <v>0</v>
      </c>
      <c r="M9">
        <f t="shared" ref="M9:M12" ca="1" si="10">IF($B9&gt;M$3,
    M8,
    MAX(
        M8,
        OFFSET(M8,0,-$B9) + $C9
    )
)</f>
        <v>0</v>
      </c>
      <c r="N9">
        <f t="shared" ref="N9:N12" ca="1" si="11">IF($B9&gt;N$3,
    N8,
    MAX(
        N8,
        OFFSET(N8,0,-$B9) + $C9
    )
)</f>
        <v>0</v>
      </c>
      <c r="O9">
        <f t="shared" ref="O9:O12" ca="1" si="12">IF($B9&gt;O$3,
    O8,
    MAX(
        O8,
        OFFSET(O8,0,-$B9) + $C9
    )
)</f>
        <v>0</v>
      </c>
      <c r="P9">
        <f t="shared" ref="P9:P12" ca="1" si="13">IF($B9&gt;P$3,
    P8,
    MAX(
        P8,
        OFFSET(P8,0,-$B9) + $C9
    )
)</f>
        <v>45</v>
      </c>
      <c r="Q9">
        <f t="shared" ref="Q9:Q12" ca="1" si="14">IF($B9&gt;Q$3,
    Q8,
    MAX(
        Q8,
        OFFSET(Q8,0,-$B9) + $C9
    )
)</f>
        <v>45</v>
      </c>
      <c r="R9">
        <f t="shared" ref="R9:R12" ca="1" si="15">IF($B9&gt;R$3,
    R8,
    MAX(
        R8,
        OFFSET(R8,0,-$B9) + $C9
    )
)</f>
        <v>60</v>
      </c>
      <c r="S9">
        <f t="shared" ref="S9:S12" ca="1" si="16">IF($B9&gt;S$3,
    S8,
    MAX(
        S8,
        OFFSET(S8,0,-$B9) + $C9
    )
)</f>
        <v>60</v>
      </c>
      <c r="T9">
        <f t="shared" ref="T9:T12" ca="1" si="17">IF($B9&gt;T$3,
    T8,
    MAX(
        T8,
        OFFSET(T8,0,-$B9) + $C9
    )
)</f>
        <v>60</v>
      </c>
      <c r="U9">
        <f t="shared" ref="U9:U12" ca="1" si="18">IF($B9&gt;U$3,
    U8,
    MAX(
        U8,
        OFFSET(U8,0,-$B9) + $C9
    )
)</f>
        <v>75</v>
      </c>
      <c r="V9">
        <f t="shared" ref="V9:V12" ca="1" si="19">IF($B9&gt;V$3,
    V8,
    MAX(
        V8,
        OFFSET(V8,0,-$B9) + $C9
    )
)</f>
        <v>75</v>
      </c>
      <c r="W9">
        <f t="shared" ref="W9:W12" ca="1" si="20">IF($B9&gt;W$3,
    W8,
    MAX(
        W8,
        OFFSET(W8,0,-$B9) + $C9
    )
)</f>
        <v>75</v>
      </c>
      <c r="X9">
        <f t="shared" ref="X9:X12" ca="1" si="21">IF($B9&gt;X$3,
    X8,
    MAX(
        X8,
        OFFSET(X8,0,-$B9) + $C9
    )
)</f>
        <v>80</v>
      </c>
      <c r="Y9">
        <f t="shared" ref="Y9:Y12" ca="1" si="22">IF($B9&gt;Y$3,
    Y8,
    MAX(
        Y8,
        OFFSET(Y8,0,-$B9) + $C9
    )
)</f>
        <v>80</v>
      </c>
      <c r="Z9">
        <f t="shared" ref="Z9:Z12" ca="1" si="23">IF($B9&gt;Z$3,
    Z8,
    MAX(
        Z8,
        OFFSET(Z8,0,-$B9) + $C9
    )
)</f>
        <v>100</v>
      </c>
      <c r="AA9">
        <f t="shared" ref="AA9:AA12" ca="1" si="24">IF($B9&gt;AA$3,
    AA8,
    MAX(
        AA8,
        OFFSET(AA8,0,-$B9) + $C9
    )
)</f>
        <v>100</v>
      </c>
      <c r="AB9">
        <f t="shared" ref="AB9:AB12" ca="1" si="25">IF($B9&gt;AB$3,
    AB8,
    MAX(
        AB8,
        OFFSET(AB8,0,-$B9) + $C9
    )
)</f>
        <v>105</v>
      </c>
      <c r="AC9">
        <f t="shared" ref="AC9:AC12" ca="1" si="26">IF($B9&gt;AC$3,
    AC8,
    MAX(
        AC8,
        OFFSET(AC8,0,-$B9) + $C9
    )
)</f>
        <v>105</v>
      </c>
      <c r="AD9">
        <f t="shared" ref="AD9:AD12" ca="1" si="27">IF($B9&gt;AD$3,
    AD8,
    MAX(
        AD8,
        OFFSET(AD8,0,-$B9) + $C9
    )
)</f>
        <v>105</v>
      </c>
      <c r="AE9">
        <f t="shared" ref="AE9:AE12" ca="1" si="28">IF($B9&gt;AE$3,
    AE8,
    MAX(
        AE8,
        OFFSET(AE8,0,-$B9) + $C9
    )
)</f>
        <v>120</v>
      </c>
      <c r="AF9">
        <f t="shared" ref="AF9:AF12" ca="1" si="29">IF($B9&gt;AF$3,
    AF8,
    MAX(
        AF8,
        OFFSET(AF8,0,-$B9) + $C9
    )
)</f>
        <v>120</v>
      </c>
      <c r="AG9">
        <f t="shared" ref="AG9:AG12" ca="1" si="30">IF($B9&gt;AG$3,
    AG8,
    MAX(
        AG8,
        OFFSET(AG8,0,-$B9) + $C9
    )
)</f>
        <v>135</v>
      </c>
      <c r="AH9">
        <f t="shared" ref="AH9:AH12" ca="1" si="31">IF($B9&gt;AH$3,
    AH8,
    MAX(
        AH8,
        OFFSET(AH8,0,-$B9) + $C9
    )
)</f>
        <v>135</v>
      </c>
      <c r="AI9">
        <f t="shared" ref="AI9:AI12" ca="1" si="32">IF($B9&gt;AI$3,
    AI8,
    MAX(
        AI8,
        OFFSET(AI8,0,-$B9) + $C9
    )
)</f>
        <v>135</v>
      </c>
      <c r="AJ9">
        <f t="shared" ref="AJ9:AJ12" ca="1" si="33">IF($B9&gt;AJ$3,
    AJ8,
    MAX(
        AJ8,
        OFFSET(AJ8,0,-$B9) + $C9
    )
)</f>
        <v>145</v>
      </c>
      <c r="AK9">
        <f t="shared" ref="AK9:AK12" ca="1" si="34">IF($B9&gt;AK$3,
    AK8,
    MAX(
        AK8,
        OFFSET(AK8,0,-$B9) + $C9
    )
)</f>
        <v>145</v>
      </c>
      <c r="AL9">
        <f t="shared" ref="AL9:AL12" ca="1" si="35">IF($B9&gt;AL$3,
    AL8,
    MAX(
        AL8,
        OFFSET(AL8,0,-$B9) + $C9
    )
)</f>
        <v>160</v>
      </c>
      <c r="AM9">
        <f t="shared" ref="AM9:AM12" ca="1" si="36">IF($B9&gt;AM$3,
    AM8,
    MAX(
        AM8,
        OFFSET(AM8,0,-$B9) + $C9
    )
)</f>
        <v>160</v>
      </c>
      <c r="AN9">
        <f t="shared" ref="AN9:AN12" ca="1" si="37">IF($B9&gt;AN$3,
    AN8,
    MAX(
        AN8,
        OFFSET(AN8,0,-$B9) + $C9
    )
)</f>
        <v>160</v>
      </c>
      <c r="AO9">
        <f t="shared" ref="AO9:AO12" ca="1" si="38">IF($B9&gt;AO$3,
    AO8,
    MAX(
        AO8,
        OFFSET(AO8,0,-$B9) + $C9
    )
)</f>
        <v>175</v>
      </c>
      <c r="AP9">
        <f t="shared" ref="AP9:AP12" ca="1" si="39">IF($B9&gt;AP$3,
    AP8,
    MAX(
        AP8,
        OFFSET(AP8,0,-$B9) + $C9
    )
)</f>
        <v>175</v>
      </c>
      <c r="AQ9">
        <f t="shared" ref="AQ9:AQ12" ca="1" si="40">IF($B9&gt;AQ$3,
    AQ8,
    MAX(
        AQ8,
        OFFSET(AQ8,0,-$B9) + $C9
    )
)</f>
        <v>180</v>
      </c>
      <c r="AR9">
        <f t="shared" ref="AR9:AR12" ca="1" si="41">IF($B9&gt;AR$3,
    AR8,
    MAX(
        AR8,
        OFFSET(AR8,0,-$B9) + $C9
    )
)</f>
        <v>180</v>
      </c>
      <c r="AS9">
        <f t="shared" ref="AS9:AS12" ca="1" si="42">IF($B9&gt;AS$3,
    AS8,
    MAX(
        AS8,
        OFFSET(AS8,0,-$B9) + $C9
    )
)</f>
        <v>180</v>
      </c>
      <c r="AT9">
        <f t="shared" ref="AT9:AT12" ca="1" si="43">IF($B9&gt;AT$3,
    AT8,
    MAX(
        AT8,
        OFFSET(AT8,0,-$B9) + $C9
    )
)</f>
        <v>185</v>
      </c>
      <c r="AU9">
        <f t="shared" ref="AU9:AU12" ca="1" si="44">IF($B9&gt;AU$3,
    AU8,
    MAX(
        AU8,
        OFFSET(AU8,0,-$B9) + $C9
    )
)</f>
        <v>185</v>
      </c>
      <c r="AV9">
        <f t="shared" ref="AV9:AV12" ca="1" si="45">IF($B9&gt;AV$3,
    AV8,
    MAX(
        AV8,
        OFFSET(AV8,0,-$B9) + $C9
    )
)</f>
        <v>205</v>
      </c>
      <c r="AW9">
        <f t="shared" ref="AW9:AW12" ca="1" si="46">IF($B9&gt;AW$3,
    AW8,
    MAX(
        AW8,
        OFFSET(AW8,0,-$B9) + $C9
    )
)</f>
        <v>205</v>
      </c>
      <c r="AX9">
        <f t="shared" ref="AX9:AX12" ca="1" si="47">IF($B9&gt;AX$3,
    AX8,
    MAX(
        AX8,
        OFFSET(AX8,0,-$B9) + $C9
    )
)</f>
        <v>205</v>
      </c>
      <c r="AY9">
        <f t="shared" ref="AY9:AY12" ca="1" si="48">IF($B9&gt;AY$3,
    AY8,
    MAX(
        AY8,
        OFFSET(AY8,0,-$B9) + $C9
    )
)</f>
        <v>220</v>
      </c>
      <c r="AZ9">
        <f t="shared" ref="AZ9:AZ12" ca="1" si="49">IF($B9&gt;AZ$3,
    AZ8,
    MAX(
        AZ8,
        OFFSET(AZ8,0,-$B9) + $C9
    )
)</f>
        <v>220</v>
      </c>
      <c r="BA9">
        <f t="shared" ref="BA9:BA12" ca="1" si="50">IF($B9&gt;BA$3,
    BA8,
    MAX(
        BA8,
        OFFSET(BA8,0,-$B9) + $C9
    )
)</f>
        <v>235</v>
      </c>
      <c r="BB9">
        <f t="shared" ref="BB9:BB12" ca="1" si="51">IF($B9&gt;BB$3,
    BB8,
    MAX(
        BB8,
        OFFSET(BB8,0,-$B9) + $C9
    )
)</f>
        <v>235</v>
      </c>
      <c r="BC9">
        <f t="shared" ref="BC9:BC12" ca="1" si="52">IF($B9&gt;BC$3,
    BC8,
    MAX(
        BC8,
        OFFSET(BC8,0,-$B9) + $C9
    )
)</f>
        <v>235</v>
      </c>
      <c r="BD9">
        <f t="shared" ref="BD9:BD12" ca="1" si="53">IF($B9&gt;BD$3,
    BD8,
    MAX(
        BD8,
        OFFSET(BD8,0,-$B9) + $C9
    )
)</f>
        <v>240</v>
      </c>
      <c r="BE9">
        <f t="shared" ref="BE9:BE12" ca="1" si="54">IF($B9&gt;BE$3,
    BE8,
    MAX(
        BE8,
        OFFSET(BE8,0,-$B9) + $C9
    )
)</f>
        <v>240</v>
      </c>
      <c r="BF9">
        <f t="shared" ref="BF9:BF12" ca="1" si="55">IF($B9&gt;BF$3,
    BF8,
    MAX(
        BF8,
        OFFSET(BF8,0,-$B9) + $C9
    )
)</f>
        <v>240</v>
      </c>
      <c r="BG9">
        <f t="shared" ref="BG9:BG12" ca="1" si="56">IF($B9&gt;BG$3,
    BG8,
    MAX(
        BG8,
        OFFSET(BG8,0,-$B9) + $C9
    )
)</f>
        <v>255</v>
      </c>
      <c r="BH9">
        <f t="shared" ref="BH9:BH12" ca="1" si="57">IF($B9&gt;BH$3,
    BH8,
    MAX(
        BH8,
        OFFSET(BH8,0,-$B9) + $C9
    )
)</f>
        <v>255</v>
      </c>
      <c r="BI9">
        <f t="shared" ref="BI9:BI12" ca="1" si="58">IF($B9&gt;BI$3,
    BI8,
    MAX(
        BI8,
        OFFSET(BI8,0,-$B9) + $C9
    )
)</f>
        <v>260</v>
      </c>
      <c r="BJ9">
        <f t="shared" ref="BJ9:BJ12" ca="1" si="59">IF($B9&gt;BJ$3,
    BJ8,
    MAX(
        BJ8,
        OFFSET(BJ8,0,-$B9) + $C9
    )
)</f>
        <v>260</v>
      </c>
      <c r="BK9">
        <f t="shared" ref="BK9:BK12" ca="1" si="60">IF($B9&gt;BK$3,
    BK8,
    MAX(
        BK8,
        OFFSET(BK8,0,-$B9) + $C9
    )
)</f>
        <v>280</v>
      </c>
      <c r="BL9">
        <f t="shared" ref="BL9:BL12" ca="1" si="61">IF($B9&gt;BL$3,
    BL8,
    MAX(
        BL8,
        OFFSET(BL8,0,-$B9) + $C9
    )
)</f>
        <v>280</v>
      </c>
      <c r="BM9">
        <f t="shared" ref="BM9:BM12" ca="1" si="62">IF($B9&gt;BM$3,
    BM8,
    MAX(
        BM8,
        OFFSET(BM8,0,-$B9) + $C9
    )
)</f>
        <v>280</v>
      </c>
      <c r="BN9">
        <f t="shared" ref="BN9:BN12" ca="1" si="63">IF($B9&gt;BN$3,
    BN8,
    MAX(
        BN8,
        OFFSET(BN8,0,-$B9) + $C9
    )
)</f>
        <v>285</v>
      </c>
      <c r="BO9">
        <f t="shared" ref="BO9:BO12" ca="1" si="64">IF($B9&gt;BO$3,
    BO8,
    MAX(
        BO8,
        OFFSET(BO8,0,-$B9) + $C9
    )
)</f>
        <v>285</v>
      </c>
      <c r="BP9">
        <f t="shared" ref="BP9:BP12" ca="1" si="65">IF($B9&gt;BP$3,
    BP8,
    MAX(
        BP8,
        OFFSET(BP8,0,-$B9) + $C9
    )
)</f>
        <v>285</v>
      </c>
      <c r="BQ9">
        <f t="shared" ref="BQ9:BQ12" ca="1" si="66">IF($B9&gt;BQ$3,
    BQ8,
    MAX(
        BQ8,
        OFFSET(BQ8,0,-$B9) + $C9
    )
)</f>
        <v>300</v>
      </c>
      <c r="BR9">
        <f t="shared" ref="BR9:BR12" ca="1" si="67">IF($B9&gt;BR$3,
    BR8,
    MAX(
        BR8,
        OFFSET(BR8,0,-$B9) + $C9
    )
)</f>
        <v>300</v>
      </c>
      <c r="BS9">
        <f t="shared" ca="1" si="3"/>
        <v>315</v>
      </c>
      <c r="BT9">
        <f t="shared" ca="1" si="1"/>
        <v>315</v>
      </c>
      <c r="BU9">
        <f t="shared" ca="1" si="1"/>
        <v>315</v>
      </c>
      <c r="BV9">
        <f t="shared" ca="1" si="1"/>
        <v>315</v>
      </c>
      <c r="BW9">
        <f t="shared" ca="1" si="1"/>
        <v>315</v>
      </c>
      <c r="BX9">
        <f t="shared" ca="1" si="4"/>
        <v>315</v>
      </c>
    </row>
    <row r="10" spans="1:79" x14ac:dyDescent="0.3">
      <c r="A10" t="s">
        <v>12</v>
      </c>
      <c r="B10">
        <v>25</v>
      </c>
      <c r="C10">
        <v>110</v>
      </c>
      <c r="D10">
        <v>0</v>
      </c>
      <c r="E10" t="s">
        <v>31</v>
      </c>
      <c r="F10" s="4">
        <v>0</v>
      </c>
      <c r="G10">
        <f t="shared" ca="1" si="2"/>
        <v>0</v>
      </c>
      <c r="H10">
        <f t="shared" ca="1" si="5"/>
        <v>0</v>
      </c>
      <c r="I10">
        <f t="shared" ca="1" si="6"/>
        <v>0</v>
      </c>
      <c r="J10">
        <f t="shared" ca="1" si="7"/>
        <v>0</v>
      </c>
      <c r="K10">
        <f t="shared" ca="1" si="8"/>
        <v>0</v>
      </c>
      <c r="L10">
        <f t="shared" ca="1" si="9"/>
        <v>0</v>
      </c>
      <c r="M10">
        <f t="shared" ca="1" si="10"/>
        <v>0</v>
      </c>
      <c r="N10">
        <f t="shared" ca="1" si="11"/>
        <v>0</v>
      </c>
      <c r="O10">
        <f t="shared" ca="1" si="12"/>
        <v>0</v>
      </c>
      <c r="P10">
        <f t="shared" ca="1" si="13"/>
        <v>45</v>
      </c>
      <c r="Q10">
        <f t="shared" ca="1" si="14"/>
        <v>45</v>
      </c>
      <c r="R10">
        <f t="shared" ca="1" si="15"/>
        <v>60</v>
      </c>
      <c r="S10">
        <f t="shared" ca="1" si="16"/>
        <v>60</v>
      </c>
      <c r="T10">
        <f t="shared" ca="1" si="17"/>
        <v>60</v>
      </c>
      <c r="U10">
        <f t="shared" ca="1" si="18"/>
        <v>75</v>
      </c>
      <c r="V10">
        <f t="shared" ca="1" si="19"/>
        <v>75</v>
      </c>
      <c r="W10">
        <f t="shared" ca="1" si="20"/>
        <v>75</v>
      </c>
      <c r="X10">
        <f t="shared" ca="1" si="21"/>
        <v>80</v>
      </c>
      <c r="Y10">
        <f t="shared" ca="1" si="22"/>
        <v>80</v>
      </c>
      <c r="Z10">
        <f t="shared" ca="1" si="23"/>
        <v>100</v>
      </c>
      <c r="AA10">
        <f t="shared" ca="1" si="24"/>
        <v>100</v>
      </c>
      <c r="AB10">
        <f t="shared" ca="1" si="25"/>
        <v>105</v>
      </c>
      <c r="AC10">
        <f t="shared" ca="1" si="26"/>
        <v>105</v>
      </c>
      <c r="AD10">
        <f t="shared" ca="1" si="27"/>
        <v>105</v>
      </c>
      <c r="AE10">
        <f t="shared" ca="1" si="28"/>
        <v>120</v>
      </c>
      <c r="AF10">
        <f t="shared" ca="1" si="29"/>
        <v>120</v>
      </c>
      <c r="AG10">
        <f t="shared" ca="1" si="30"/>
        <v>135</v>
      </c>
      <c r="AH10">
        <f t="shared" ca="1" si="31"/>
        <v>135</v>
      </c>
      <c r="AI10">
        <f t="shared" ca="1" si="32"/>
        <v>135</v>
      </c>
      <c r="AJ10">
        <f t="shared" ca="1" si="33"/>
        <v>145</v>
      </c>
      <c r="AK10">
        <f t="shared" ca="1" si="34"/>
        <v>145</v>
      </c>
      <c r="AL10">
        <f t="shared" ca="1" si="35"/>
        <v>160</v>
      </c>
      <c r="AM10">
        <f t="shared" ca="1" si="36"/>
        <v>160</v>
      </c>
      <c r="AN10">
        <f t="shared" ca="1" si="37"/>
        <v>160</v>
      </c>
      <c r="AO10">
        <f t="shared" ca="1" si="38"/>
        <v>175</v>
      </c>
      <c r="AP10">
        <f t="shared" ca="1" si="39"/>
        <v>175</v>
      </c>
      <c r="AQ10">
        <f t="shared" ca="1" si="40"/>
        <v>180</v>
      </c>
      <c r="AR10">
        <f t="shared" ca="1" si="41"/>
        <v>180</v>
      </c>
      <c r="AS10">
        <f t="shared" ca="1" si="42"/>
        <v>180</v>
      </c>
      <c r="AT10">
        <f t="shared" ca="1" si="43"/>
        <v>185</v>
      </c>
      <c r="AU10">
        <f t="shared" ca="1" si="44"/>
        <v>185</v>
      </c>
      <c r="AV10">
        <f t="shared" ca="1" si="45"/>
        <v>205</v>
      </c>
      <c r="AW10">
        <f t="shared" ca="1" si="46"/>
        <v>205</v>
      </c>
      <c r="AX10">
        <f t="shared" ca="1" si="47"/>
        <v>205</v>
      </c>
      <c r="AY10">
        <f t="shared" ca="1" si="48"/>
        <v>220</v>
      </c>
      <c r="AZ10">
        <f t="shared" ca="1" si="49"/>
        <v>220</v>
      </c>
      <c r="BA10">
        <f t="shared" ca="1" si="50"/>
        <v>235</v>
      </c>
      <c r="BB10">
        <f t="shared" ca="1" si="51"/>
        <v>235</v>
      </c>
      <c r="BC10">
        <f t="shared" ca="1" si="52"/>
        <v>235</v>
      </c>
      <c r="BD10">
        <f t="shared" ca="1" si="53"/>
        <v>240</v>
      </c>
      <c r="BE10">
        <f t="shared" ca="1" si="54"/>
        <v>240</v>
      </c>
      <c r="BF10">
        <f t="shared" ca="1" si="55"/>
        <v>245</v>
      </c>
      <c r="BG10">
        <f t="shared" ca="1" si="56"/>
        <v>255</v>
      </c>
      <c r="BH10">
        <f t="shared" ca="1" si="57"/>
        <v>255</v>
      </c>
      <c r="BI10">
        <f t="shared" ca="1" si="58"/>
        <v>260</v>
      </c>
      <c r="BJ10">
        <f t="shared" ca="1" si="59"/>
        <v>260</v>
      </c>
      <c r="BK10">
        <f t="shared" ca="1" si="60"/>
        <v>280</v>
      </c>
      <c r="BL10">
        <f t="shared" ca="1" si="61"/>
        <v>280</v>
      </c>
      <c r="BM10">
        <f t="shared" ca="1" si="62"/>
        <v>280</v>
      </c>
      <c r="BN10">
        <f t="shared" ca="1" si="63"/>
        <v>285</v>
      </c>
      <c r="BO10">
        <f t="shared" ca="1" si="64"/>
        <v>285</v>
      </c>
      <c r="BP10">
        <f t="shared" ca="1" si="65"/>
        <v>290</v>
      </c>
      <c r="BQ10">
        <f t="shared" ca="1" si="66"/>
        <v>300</v>
      </c>
      <c r="BR10">
        <f t="shared" ca="1" si="67"/>
        <v>300</v>
      </c>
      <c r="BS10">
        <f t="shared" ca="1" si="3"/>
        <v>315</v>
      </c>
      <c r="BT10">
        <f t="shared" ca="1" si="1"/>
        <v>315</v>
      </c>
      <c r="BU10">
        <f t="shared" ca="1" si="1"/>
        <v>315</v>
      </c>
      <c r="BV10">
        <f t="shared" ca="1" si="1"/>
        <v>315</v>
      </c>
      <c r="BW10">
        <f t="shared" ca="1" si="1"/>
        <v>315</v>
      </c>
      <c r="BX10">
        <f t="shared" ca="1" si="4"/>
        <v>330</v>
      </c>
    </row>
    <row r="11" spans="1:79" x14ac:dyDescent="0.3">
      <c r="A11" t="s">
        <v>13</v>
      </c>
      <c r="B11">
        <v>9</v>
      </c>
      <c r="C11">
        <v>40</v>
      </c>
      <c r="D11">
        <v>0</v>
      </c>
      <c r="E11" t="s">
        <v>32</v>
      </c>
      <c r="F11" s="4">
        <v>0</v>
      </c>
      <c r="G11">
        <f t="shared" ca="1" si="2"/>
        <v>0</v>
      </c>
      <c r="H11">
        <f t="shared" ca="1" si="5"/>
        <v>0</v>
      </c>
      <c r="I11">
        <f t="shared" ca="1" si="6"/>
        <v>0</v>
      </c>
      <c r="J11">
        <f t="shared" ca="1" si="7"/>
        <v>0</v>
      </c>
      <c r="K11">
        <f t="shared" ca="1" si="8"/>
        <v>0</v>
      </c>
      <c r="L11">
        <f t="shared" ca="1" si="9"/>
        <v>0</v>
      </c>
      <c r="M11">
        <f t="shared" ca="1" si="10"/>
        <v>0</v>
      </c>
      <c r="N11">
        <f t="shared" ca="1" si="11"/>
        <v>0</v>
      </c>
      <c r="O11">
        <f t="shared" ca="1" si="12"/>
        <v>40</v>
      </c>
      <c r="P11">
        <f t="shared" ca="1" si="13"/>
        <v>45</v>
      </c>
      <c r="Q11">
        <f t="shared" ca="1" si="14"/>
        <v>45</v>
      </c>
      <c r="R11">
        <f t="shared" ca="1" si="15"/>
        <v>60</v>
      </c>
      <c r="S11">
        <f t="shared" ca="1" si="16"/>
        <v>60</v>
      </c>
      <c r="T11">
        <f t="shared" ca="1" si="17"/>
        <v>60</v>
      </c>
      <c r="U11">
        <f t="shared" ca="1" si="18"/>
        <v>75</v>
      </c>
      <c r="V11">
        <f t="shared" ca="1" si="19"/>
        <v>75</v>
      </c>
      <c r="W11">
        <f t="shared" ca="1" si="20"/>
        <v>75</v>
      </c>
      <c r="X11">
        <f t="shared" ca="1" si="21"/>
        <v>80</v>
      </c>
      <c r="Y11">
        <f t="shared" ca="1" si="22"/>
        <v>85</v>
      </c>
      <c r="Z11">
        <f t="shared" ca="1" si="23"/>
        <v>100</v>
      </c>
      <c r="AA11">
        <f t="shared" ca="1" si="24"/>
        <v>100</v>
      </c>
      <c r="AB11">
        <f t="shared" ca="1" si="25"/>
        <v>105</v>
      </c>
      <c r="AC11">
        <f t="shared" ca="1" si="26"/>
        <v>105</v>
      </c>
      <c r="AD11">
        <f t="shared" ca="1" si="27"/>
        <v>115</v>
      </c>
      <c r="AE11">
        <f t="shared" ca="1" si="28"/>
        <v>120</v>
      </c>
      <c r="AF11">
        <f t="shared" ca="1" si="29"/>
        <v>120</v>
      </c>
      <c r="AG11">
        <f t="shared" ca="1" si="30"/>
        <v>135</v>
      </c>
      <c r="AH11">
        <f t="shared" ca="1" si="31"/>
        <v>135</v>
      </c>
      <c r="AI11">
        <f t="shared" ca="1" si="32"/>
        <v>140</v>
      </c>
      <c r="AJ11">
        <f t="shared" ca="1" si="33"/>
        <v>145</v>
      </c>
      <c r="AK11">
        <f t="shared" ca="1" si="34"/>
        <v>145</v>
      </c>
      <c r="AL11">
        <f t="shared" ca="1" si="35"/>
        <v>160</v>
      </c>
      <c r="AM11">
        <f t="shared" ca="1" si="36"/>
        <v>160</v>
      </c>
      <c r="AN11">
        <f t="shared" ca="1" si="37"/>
        <v>160</v>
      </c>
      <c r="AO11">
        <f t="shared" ca="1" si="38"/>
        <v>175</v>
      </c>
      <c r="AP11">
        <f t="shared" ca="1" si="39"/>
        <v>175</v>
      </c>
      <c r="AQ11">
        <f t="shared" ca="1" si="40"/>
        <v>180</v>
      </c>
      <c r="AR11">
        <f t="shared" ca="1" si="41"/>
        <v>180</v>
      </c>
      <c r="AS11">
        <f t="shared" ca="1" si="42"/>
        <v>185</v>
      </c>
      <c r="AT11">
        <f t="shared" ca="1" si="43"/>
        <v>185</v>
      </c>
      <c r="AU11">
        <f t="shared" ca="1" si="44"/>
        <v>200</v>
      </c>
      <c r="AV11">
        <f t="shared" ca="1" si="45"/>
        <v>205</v>
      </c>
      <c r="AW11">
        <f t="shared" ca="1" si="46"/>
        <v>205</v>
      </c>
      <c r="AX11">
        <f t="shared" ca="1" si="47"/>
        <v>215</v>
      </c>
      <c r="AY11">
        <f t="shared" ca="1" si="48"/>
        <v>220</v>
      </c>
      <c r="AZ11">
        <f t="shared" ca="1" si="49"/>
        <v>220</v>
      </c>
      <c r="BA11">
        <f t="shared" ca="1" si="50"/>
        <v>235</v>
      </c>
      <c r="BB11">
        <f t="shared" ca="1" si="51"/>
        <v>235</v>
      </c>
      <c r="BC11">
        <f t="shared" ca="1" si="52"/>
        <v>235</v>
      </c>
      <c r="BD11">
        <f t="shared" ca="1" si="53"/>
        <v>240</v>
      </c>
      <c r="BE11">
        <f t="shared" ca="1" si="54"/>
        <v>245</v>
      </c>
      <c r="BF11">
        <f t="shared" ca="1" si="55"/>
        <v>245</v>
      </c>
      <c r="BG11">
        <f t="shared" ca="1" si="56"/>
        <v>255</v>
      </c>
      <c r="BH11">
        <f t="shared" ca="1" si="57"/>
        <v>260</v>
      </c>
      <c r="BI11">
        <f t="shared" ca="1" si="58"/>
        <v>260</v>
      </c>
      <c r="BJ11">
        <f t="shared" ca="1" si="59"/>
        <v>275</v>
      </c>
      <c r="BK11">
        <f t="shared" ca="1" si="60"/>
        <v>280</v>
      </c>
      <c r="BL11">
        <f t="shared" ca="1" si="61"/>
        <v>280</v>
      </c>
      <c r="BM11">
        <f t="shared" ca="1" si="62"/>
        <v>280</v>
      </c>
      <c r="BN11">
        <f t="shared" ca="1" si="63"/>
        <v>285</v>
      </c>
      <c r="BO11">
        <f t="shared" ca="1" si="64"/>
        <v>285</v>
      </c>
      <c r="BP11">
        <f t="shared" ca="1" si="65"/>
        <v>295</v>
      </c>
      <c r="BQ11">
        <f t="shared" ca="1" si="66"/>
        <v>300</v>
      </c>
      <c r="BR11">
        <f t="shared" ca="1" si="67"/>
        <v>300</v>
      </c>
      <c r="BS11">
        <f t="shared" ca="1" si="3"/>
        <v>315</v>
      </c>
      <c r="BT11">
        <f t="shared" ca="1" si="1"/>
        <v>320</v>
      </c>
      <c r="BU11">
        <f t="shared" ca="1" si="1"/>
        <v>320</v>
      </c>
      <c r="BV11">
        <f t="shared" ca="1" si="1"/>
        <v>320</v>
      </c>
      <c r="BW11">
        <f t="shared" ca="1" si="1"/>
        <v>325</v>
      </c>
      <c r="BX11">
        <f t="shared" ca="1" si="4"/>
        <v>330</v>
      </c>
      <c r="CA11" s="5"/>
    </row>
    <row r="12" spans="1:79" x14ac:dyDescent="0.3">
      <c r="A12" t="s">
        <v>14</v>
      </c>
      <c r="B12" s="8">
        <v>30</v>
      </c>
      <c r="C12" s="8">
        <v>150</v>
      </c>
      <c r="D12" s="8">
        <v>1</v>
      </c>
      <c r="E12" t="s">
        <v>33</v>
      </c>
      <c r="F12" s="4">
        <v>0</v>
      </c>
      <c r="G12">
        <f t="shared" ca="1" si="2"/>
        <v>0</v>
      </c>
      <c r="H12">
        <f t="shared" ca="1" si="5"/>
        <v>0</v>
      </c>
      <c r="I12">
        <f t="shared" ca="1" si="6"/>
        <v>0</v>
      </c>
      <c r="J12">
        <f t="shared" ca="1" si="7"/>
        <v>0</v>
      </c>
      <c r="K12">
        <f t="shared" ca="1" si="8"/>
        <v>0</v>
      </c>
      <c r="L12">
        <f t="shared" ca="1" si="9"/>
        <v>0</v>
      </c>
      <c r="M12">
        <f t="shared" ca="1" si="10"/>
        <v>0</v>
      </c>
      <c r="N12">
        <f t="shared" ca="1" si="11"/>
        <v>0</v>
      </c>
      <c r="O12">
        <f t="shared" ca="1" si="12"/>
        <v>40</v>
      </c>
      <c r="P12">
        <f t="shared" ca="1" si="13"/>
        <v>45</v>
      </c>
      <c r="Q12">
        <f t="shared" ca="1" si="14"/>
        <v>45</v>
      </c>
      <c r="R12">
        <f t="shared" ca="1" si="15"/>
        <v>60</v>
      </c>
      <c r="S12">
        <f t="shared" ca="1" si="16"/>
        <v>60</v>
      </c>
      <c r="T12">
        <f t="shared" ca="1" si="17"/>
        <v>60</v>
      </c>
      <c r="U12">
        <f t="shared" ca="1" si="18"/>
        <v>75</v>
      </c>
      <c r="V12">
        <f t="shared" ca="1" si="19"/>
        <v>75</v>
      </c>
      <c r="W12">
        <f t="shared" ca="1" si="20"/>
        <v>75</v>
      </c>
      <c r="X12">
        <f t="shared" ca="1" si="21"/>
        <v>80</v>
      </c>
      <c r="Y12">
        <f t="shared" ca="1" si="22"/>
        <v>85</v>
      </c>
      <c r="Z12">
        <f t="shared" ca="1" si="23"/>
        <v>100</v>
      </c>
      <c r="AA12">
        <f t="shared" ca="1" si="24"/>
        <v>100</v>
      </c>
      <c r="AB12">
        <f t="shared" ca="1" si="25"/>
        <v>105</v>
      </c>
      <c r="AC12">
        <f t="shared" ca="1" si="26"/>
        <v>105</v>
      </c>
      <c r="AD12">
        <f t="shared" ca="1" si="27"/>
        <v>115</v>
      </c>
      <c r="AE12">
        <f t="shared" ca="1" si="28"/>
        <v>120</v>
      </c>
      <c r="AF12">
        <f t="shared" ca="1" si="29"/>
        <v>120</v>
      </c>
      <c r="AG12">
        <f t="shared" ca="1" si="30"/>
        <v>135</v>
      </c>
      <c r="AH12">
        <f t="shared" ca="1" si="31"/>
        <v>135</v>
      </c>
      <c r="AI12">
        <f t="shared" ca="1" si="32"/>
        <v>140</v>
      </c>
      <c r="AJ12">
        <f t="shared" ca="1" si="33"/>
        <v>150</v>
      </c>
      <c r="AK12">
        <f t="shared" ca="1" si="34"/>
        <v>150</v>
      </c>
      <c r="AL12">
        <f t="shared" ca="1" si="35"/>
        <v>160</v>
      </c>
      <c r="AM12">
        <f t="shared" ca="1" si="36"/>
        <v>160</v>
      </c>
      <c r="AN12">
        <f t="shared" ca="1" si="37"/>
        <v>160</v>
      </c>
      <c r="AO12">
        <f t="shared" ca="1" si="38"/>
        <v>175</v>
      </c>
      <c r="AP12">
        <f t="shared" ca="1" si="39"/>
        <v>175</v>
      </c>
      <c r="AQ12">
        <f t="shared" ca="1" si="40"/>
        <v>180</v>
      </c>
      <c r="AR12">
        <f t="shared" ca="1" si="41"/>
        <v>180</v>
      </c>
      <c r="AS12">
        <f t="shared" ca="1" si="42"/>
        <v>190</v>
      </c>
      <c r="AT12">
        <f t="shared" ca="1" si="43"/>
        <v>195</v>
      </c>
      <c r="AU12">
        <f t="shared" ca="1" si="44"/>
        <v>200</v>
      </c>
      <c r="AV12">
        <f t="shared" ca="1" si="45"/>
        <v>210</v>
      </c>
      <c r="AW12">
        <f t="shared" ca="1" si="46"/>
        <v>210</v>
      </c>
      <c r="AX12">
        <f t="shared" ca="1" si="47"/>
        <v>215</v>
      </c>
      <c r="AY12">
        <f t="shared" ca="1" si="48"/>
        <v>225</v>
      </c>
      <c r="AZ12">
        <f t="shared" ca="1" si="49"/>
        <v>225</v>
      </c>
      <c r="BA12">
        <f t="shared" ca="1" si="50"/>
        <v>235</v>
      </c>
      <c r="BB12">
        <f t="shared" ca="1" si="51"/>
        <v>235</v>
      </c>
      <c r="BC12">
        <f t="shared" ca="1" si="52"/>
        <v>235</v>
      </c>
      <c r="BD12">
        <f t="shared" ca="1" si="53"/>
        <v>250</v>
      </c>
      <c r="BE12">
        <f t="shared" ca="1" si="54"/>
        <v>250</v>
      </c>
      <c r="BF12">
        <f t="shared" ca="1" si="55"/>
        <v>255</v>
      </c>
      <c r="BG12">
        <f t="shared" ca="1" si="56"/>
        <v>255</v>
      </c>
      <c r="BH12">
        <f t="shared" ca="1" si="57"/>
        <v>265</v>
      </c>
      <c r="BI12">
        <f t="shared" ca="1" si="58"/>
        <v>270</v>
      </c>
      <c r="BJ12">
        <f t="shared" ca="1" si="59"/>
        <v>275</v>
      </c>
      <c r="BK12">
        <f t="shared" ca="1" si="60"/>
        <v>285</v>
      </c>
      <c r="BL12">
        <f t="shared" ca="1" si="61"/>
        <v>285</v>
      </c>
      <c r="BM12">
        <f t="shared" ca="1" si="62"/>
        <v>290</v>
      </c>
      <c r="BN12">
        <f t="shared" ca="1" si="63"/>
        <v>295</v>
      </c>
      <c r="BO12">
        <f t="shared" ca="1" si="64"/>
        <v>295</v>
      </c>
      <c r="BP12">
        <f t="shared" ca="1" si="65"/>
        <v>310</v>
      </c>
      <c r="BQ12">
        <f t="shared" ca="1" si="66"/>
        <v>310</v>
      </c>
      <c r="BR12">
        <f t="shared" ca="1" si="67"/>
        <v>310</v>
      </c>
      <c r="BS12">
        <f t="shared" ca="1" si="3"/>
        <v>325</v>
      </c>
      <c r="BT12">
        <f t="shared" ca="1" si="1"/>
        <v>325</v>
      </c>
      <c r="BU12">
        <f t="shared" ca="1" si="1"/>
        <v>330</v>
      </c>
      <c r="BV12">
        <f t="shared" ca="1" si="1"/>
        <v>330</v>
      </c>
      <c r="BW12">
        <f t="shared" ca="1" si="1"/>
        <v>335</v>
      </c>
      <c r="BX12">
        <f t="shared" ca="1" si="4"/>
        <v>335</v>
      </c>
    </row>
    <row r="15" spans="1:79" x14ac:dyDescent="0.3">
      <c r="A15" s="3" t="s">
        <v>24</v>
      </c>
      <c r="B15" s="3">
        <v>70</v>
      </c>
    </row>
    <row r="16" spans="1:79" ht="28.8" x14ac:dyDescent="0.3">
      <c r="B16" s="9" t="s">
        <v>35</v>
      </c>
    </row>
    <row r="17" spans="1:17" x14ac:dyDescent="0.3">
      <c r="A17" s="10" t="s">
        <v>1</v>
      </c>
      <c r="B17" s="11" t="s">
        <v>36</v>
      </c>
      <c r="C17" s="12" t="s">
        <v>37</v>
      </c>
    </row>
    <row r="18" spans="1:17" x14ac:dyDescent="0.3">
      <c r="A18" s="13" t="s">
        <v>7</v>
      </c>
      <c r="B18" s="14">
        <f>IF($D5=1,$C5,0)</f>
        <v>60</v>
      </c>
      <c r="C18" s="15">
        <f>IF($D5=1,$B5,0)</f>
        <v>12</v>
      </c>
    </row>
    <row r="19" spans="1:17" x14ac:dyDescent="0.3">
      <c r="A19" s="13" t="s">
        <v>8</v>
      </c>
      <c r="B19" s="14">
        <f t="shared" ref="B19:B25" si="68">IF($D6=1,$C6,0)</f>
        <v>0</v>
      </c>
      <c r="C19" s="15">
        <f t="shared" ref="C19:C25" si="69">IF($D6=1,$B6,0)</f>
        <v>0</v>
      </c>
      <c r="E19" s="6"/>
    </row>
    <row r="20" spans="1:17" x14ac:dyDescent="0.3">
      <c r="A20" s="13" t="s">
        <v>9</v>
      </c>
      <c r="B20" s="14">
        <f t="shared" si="68"/>
        <v>0</v>
      </c>
      <c r="C20" s="15">
        <f t="shared" si="69"/>
        <v>0</v>
      </c>
      <c r="D20" s="7"/>
      <c r="E20" s="7"/>
      <c r="F20" s="7"/>
    </row>
    <row r="21" spans="1:17" x14ac:dyDescent="0.3">
      <c r="A21" s="13" t="s">
        <v>10</v>
      </c>
      <c r="B21" s="14">
        <f t="shared" si="68"/>
        <v>45</v>
      </c>
      <c r="C21" s="15">
        <f t="shared" si="69"/>
        <v>10</v>
      </c>
    </row>
    <row r="22" spans="1:17" x14ac:dyDescent="0.3">
      <c r="A22" s="13" t="s">
        <v>11</v>
      </c>
      <c r="B22" s="14">
        <f t="shared" si="68"/>
        <v>80</v>
      </c>
      <c r="C22" s="15">
        <f t="shared" si="69"/>
        <v>18</v>
      </c>
    </row>
    <row r="23" spans="1:17" x14ac:dyDescent="0.3">
      <c r="A23" s="13" t="s">
        <v>12</v>
      </c>
      <c r="B23" s="14">
        <f t="shared" si="68"/>
        <v>0</v>
      </c>
      <c r="C23" s="15">
        <f t="shared" si="69"/>
        <v>0</v>
      </c>
    </row>
    <row r="24" spans="1:17" x14ac:dyDescent="0.3">
      <c r="A24" s="13" t="s">
        <v>13</v>
      </c>
      <c r="B24" s="14">
        <f t="shared" si="68"/>
        <v>0</v>
      </c>
      <c r="C24" s="15">
        <f t="shared" si="69"/>
        <v>0</v>
      </c>
    </row>
    <row r="25" spans="1:17" ht="15" thickBot="1" x14ac:dyDescent="0.35">
      <c r="A25" s="16" t="s">
        <v>14</v>
      </c>
      <c r="B25" s="14">
        <f t="shared" si="68"/>
        <v>150</v>
      </c>
      <c r="C25" s="15">
        <f t="shared" si="69"/>
        <v>30</v>
      </c>
    </row>
    <row r="26" spans="1:17" ht="15" thickBot="1" x14ac:dyDescent="0.35">
      <c r="A26" s="17"/>
      <c r="B26" s="19">
        <f>SUM(B18:B25)</f>
        <v>335</v>
      </c>
      <c r="C26" s="18">
        <f>SUM(C18:C25)</f>
        <v>70</v>
      </c>
    </row>
    <row r="27" spans="1:17" x14ac:dyDescent="0.3">
      <c r="Q27">
        <v>5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Knapsack Model</vt:lpstr>
      <vt:lpstr>Knapsack Model 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Raj Dev</cp:lastModifiedBy>
  <dcterms:created xsi:type="dcterms:W3CDTF">2025-12-03T18:05:42Z</dcterms:created>
  <dcterms:modified xsi:type="dcterms:W3CDTF">2025-12-11T00:56:55Z</dcterms:modified>
</cp:coreProperties>
</file>